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CULTIVARS" sheetId="2" state="visible" r:id="rId2"/>
    <sheet name="HYBRIDS" sheetId="3" state="visible" r:id="rId3"/>
    <sheet name="ROW BACKUPS" sheetId="4" state="visible" r:id="rId4"/>
  </sheets>
  <definedNames>
    <definedName name="_xlnm._FilterDatabase" localSheetId="0" hidden="1">'SPECIES'!$A$1:$AV$77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color rgb="000000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.9" customWidth="1" min="2" max="2"/>
    <col width="74.90000000000001" customWidth="1" min="3" max="3"/>
    <col width="10" customWidth="1" min="4" max="4"/>
    <col width="17.6" customWidth="1" min="5" max="5"/>
    <col width="19.8" customWidth="1" min="6" max="6"/>
    <col width="65.40000000000001" customWidth="1" min="7" max="7"/>
    <col width="10.9" customWidth="1" min="8" max="8"/>
    <col width="9.6" customWidth="1" min="9" max="9"/>
    <col width="66.59999999999999" customWidth="1" min="10" max="10"/>
    <col width="4.4" customWidth="1" min="11" max="11"/>
    <col width="81.90000000000001" customWidth="1" min="12" max="12"/>
    <col width="17.5" customWidth="1" min="13" max="13"/>
    <col width="18.6" customWidth="1" min="14" max="14"/>
    <col width="37.8" customWidth="1" min="15" max="15"/>
    <col width="29.8" customWidth="1" min="16" max="16"/>
    <col width="57.6" customWidth="1" min="17" max="17"/>
    <col width="33.5" customWidth="1" min="18" max="18"/>
    <col width="29.6" customWidth="1" min="19" max="19"/>
    <col width="24.2" customWidth="1" min="20" max="20"/>
    <col width="45.4" customWidth="1" min="21" max="21"/>
    <col width="80.90000000000001" customWidth="1" min="22" max="22"/>
    <col width="23.6" customWidth="1" min="23" max="23"/>
    <col width="90.5" customWidth="1" min="24" max="24"/>
    <col width="79.40000000000001" customWidth="1" min="25" max="25"/>
    <col width="67.8" customWidth="1" min="26" max="26"/>
    <col width="29.1" customWidth="1" min="27" max="27"/>
  </cols>
  <sheetData>
    <row r="1" ht="26.25" customHeight="1">
      <c r="A1" s="1">
        <f>"AP "&amp;ROUNDUP(AC1*100,1)&amp;"%"</f>
        <v/>
      </c>
      <c r="B1" s="1" t="inlineStr">
        <is>
          <t>SPECIES NAME</t>
        </is>
      </c>
      <c r="C1" s="1" t="inlineStr">
        <is>
          <t>HOMOTYPIC SYNONYMS</t>
        </is>
      </c>
      <c r="D1" s="1" t="inlineStr">
        <is>
          <t>HETEROTYPIC SYNONYMS</t>
        </is>
      </c>
      <c r="E1" s="1" t="inlineStr">
        <is>
          <t>ACCEPTED INFRASPECIFICS</t>
        </is>
      </c>
      <c r="F1" s="1" t="inlineStr">
        <is>
          <t>OTHER NAMES</t>
        </is>
      </c>
      <c r="G1" s="1" t="inlineStr">
        <is>
          <t>GEOGRAPHY</t>
        </is>
      </c>
      <c r="H1" s="1" t="inlineStr">
        <is>
          <t>DOUBTFULLY PRESENT</t>
        </is>
      </c>
      <c r="I1" s="1" t="inlineStr">
        <is>
          <t>YEAR DESCRIBED</t>
        </is>
      </c>
      <c r="J1" s="1" t="inlineStr">
        <is>
          <t>JOURNAL</t>
        </is>
      </c>
      <c r="K1" s="1" t="inlineStr">
        <is>
          <t>JOURNAL AVAILABLE</t>
        </is>
      </c>
      <c r="L1" s="2" t="inlineStr">
        <is>
          <t>PROTOLOGUE NAME &amp; URL</t>
        </is>
      </c>
      <c r="M1" s="2" t="inlineStr">
        <is>
          <t>PROTOLOGUE TEXT</t>
        </is>
      </c>
      <c r="N1" s="2" t="inlineStr">
        <is>
          <t>DESCRIPTION</t>
        </is>
      </c>
      <c r="O1" s="2" t="inlineStr">
        <is>
          <t>INFLORESCENCE</t>
        </is>
      </c>
      <c r="P1" s="2" t="inlineStr">
        <is>
          <t>ADDITIONAL DISTRIBUTION</t>
        </is>
      </c>
      <c r="Q1" s="2" t="inlineStr">
        <is>
          <t>INATURALIST</t>
        </is>
      </c>
      <c r="R1" s="2" t="inlineStr">
        <is>
          <t>ECOLOGY</t>
        </is>
      </c>
      <c r="S1" s="2" t="inlineStr">
        <is>
          <t>ETYMOLOGY</t>
        </is>
      </c>
      <c r="T1" s="2" t="inlineStr">
        <is>
          <t>ADDITIONAL CREDITS</t>
        </is>
      </c>
      <c r="U1" s="2" t="inlineStr">
        <is>
          <t>NOTES</t>
        </is>
      </c>
      <c r="V1" s="3" t="inlineStr">
        <is>
          <t>PROPAGATION</t>
        </is>
      </c>
      <c r="W1" s="3" t="inlineStr">
        <is>
          <t>STORY</t>
        </is>
      </c>
      <c r="X1" s="3" t="inlineStr">
        <is>
          <t>ADDITIONAL REFERENCES</t>
        </is>
      </c>
      <c r="Y1" s="2" t="inlineStr">
        <is>
          <t>HYBRIDS</t>
        </is>
      </c>
      <c r="Z1" s="2" t="inlineStr">
        <is>
          <t>KEW LINK</t>
        </is>
      </c>
      <c r="AC1">
        <f>AD1/COUNTA(B2:B31)</f>
        <v/>
      </c>
      <c r="AD1">
        <f>COUNTIF(A2:A31,"Y")</f>
        <v/>
      </c>
    </row>
    <row r="2" ht="26.25" customHeight="1">
      <c r="A2" s="4" t="inlineStr"/>
      <c r="B2" s="4" t="inlineStr">
        <is>
          <t>Spathiphyllum abelianum</t>
        </is>
      </c>
      <c r="C2" s="4" t="inlineStr"/>
      <c r="D2" s="4" t="inlineStr"/>
      <c r="E2" s="4" t="inlineStr"/>
      <c r="F2" s="4" t="inlineStr"/>
      <c r="G2" s="4" t="inlineStr">
        <is>
          <t>Costa Rica</t>
        </is>
      </c>
      <c r="H2" s="4" t="inlineStr"/>
      <c r="I2" s="4">
        <f>left(RIGHT(J2,5),4)</f>
        <v/>
      </c>
      <c r="J2" s="4" t="inlineStr">
        <is>
          <t>Brenesia 75-76: 4 (2011)</t>
        </is>
      </c>
      <c r="K2" s="4" t="inlineStr"/>
      <c r="L2" s="5" t="inlineStr"/>
      <c r="M2" s="5" t="inlineStr"/>
      <c r="N2" s="5" t="inlineStr"/>
      <c r="O2" s="5" t="inlineStr"/>
      <c r="P2" s="5" t="inlineStr"/>
      <c r="Q2" s="6" t="inlineStr"/>
      <c r="R2" s="5" t="inlineStr"/>
      <c r="S2" s="5" t="inlineStr"/>
      <c r="T2" s="5" t="inlineStr"/>
      <c r="U2" s="5" t="inlineStr"/>
      <c r="V2" s="7" t="inlineStr"/>
      <c r="W2" s="7" t="inlineStr"/>
      <c r="X2" s="7" t="inlineStr"/>
      <c r="Y2" s="5" t="inlineStr"/>
      <c r="Z2" s="7" t="inlineStr">
        <is>
          <t>https://powo.science.kew.org/taxon/urn%3Alsid%3Aipni.org%3Anames%3A77125606-1</t>
        </is>
      </c>
    </row>
    <row r="3" ht="26.25" customHeight="1">
      <c r="A3" s="4" t="inlineStr"/>
      <c r="B3" s="4" t="inlineStr">
        <is>
          <t>Spathiphyllum almirantense</t>
        </is>
      </c>
      <c r="C3" s="4" t="inlineStr"/>
      <c r="D3" s="4" t="inlineStr"/>
      <c r="E3" s="4" t="inlineStr"/>
      <c r="F3" s="4" t="inlineStr"/>
      <c r="G3" s="4" t="inlineStr">
        <is>
          <t>Panama</t>
        </is>
      </c>
      <c r="H3" s="4" t="inlineStr"/>
      <c r="I3" s="4">
        <f>left(RIGHT(J3,5),4)</f>
        <v/>
      </c>
      <c r="J3" s="4" t="inlineStr">
        <is>
          <t>Aroideana 47(2): 23 (2024)</t>
        </is>
      </c>
      <c r="K3" s="4" t="inlineStr"/>
      <c r="L3" s="5" t="inlineStr"/>
      <c r="M3" s="5" t="inlineStr"/>
      <c r="N3" s="5" t="inlineStr"/>
      <c r="O3" s="5" t="inlineStr"/>
      <c r="P3" s="5" t="inlineStr"/>
      <c r="Q3" s="6" t="inlineStr"/>
      <c r="R3" s="5" t="inlineStr"/>
      <c r="S3" s="5" t="inlineStr"/>
      <c r="T3" s="5" t="inlineStr"/>
      <c r="U3" s="5" t="inlineStr"/>
      <c r="V3" s="7" t="inlineStr"/>
      <c r="W3" s="7" t="inlineStr"/>
      <c r="X3" s="7" t="inlineStr"/>
      <c r="Y3" s="5" t="inlineStr"/>
      <c r="Z3" s="7" t="inlineStr">
        <is>
          <t>https://powo.science.kew.org/taxon/urn%3Alsid%3Aipni.org%3Anames%3A77350332-1</t>
        </is>
      </c>
    </row>
    <row r="4" ht="26.25" customHeight="1">
      <c r="A4" s="4" t="inlineStr"/>
      <c r="B4" s="4" t="inlineStr">
        <is>
          <t>Spathiphyllum atrovirens</t>
        </is>
      </c>
      <c r="C4" s="4" t="inlineStr"/>
      <c r="D4" s="4" t="inlineStr"/>
      <c r="E4" s="4" t="inlineStr"/>
      <c r="F4" s="4" t="inlineStr"/>
      <c r="G4" s="4" t="inlineStr">
        <is>
          <t>Costa Rica to W. Panama</t>
        </is>
      </c>
      <c r="H4" s="4" t="inlineStr"/>
      <c r="I4" s="4">
        <f>left(RIGHT(J4,5),4)</f>
        <v/>
      </c>
      <c r="J4" s="4" t="inlineStr">
        <is>
          <t>Oesterr. Bot. Z. 8: 179 (1858)</t>
        </is>
      </c>
      <c r="K4" s="4" t="inlineStr"/>
      <c r="L4" s="5" t="inlineStr"/>
      <c r="M4" s="5" t="inlineStr"/>
      <c r="N4" s="5" t="inlineStr"/>
      <c r="O4" s="5" t="inlineStr"/>
      <c r="P4" s="5" t="inlineStr"/>
      <c r="Q4" s="6" t="inlineStr"/>
      <c r="R4" s="5" t="inlineStr"/>
      <c r="S4" s="5" t="inlineStr"/>
      <c r="T4" s="5" t="inlineStr"/>
      <c r="U4" s="5" t="inlineStr"/>
      <c r="V4" s="7" t="inlineStr"/>
      <c r="W4" s="7" t="inlineStr"/>
      <c r="X4" s="7" t="inlineStr"/>
      <c r="Y4" s="5" t="inlineStr"/>
      <c r="Z4" s="7" t="inlineStr">
        <is>
          <t>https://powo.science.kew.org/taxon/urn%3Alsid%3Aipni.org%3Anames%3A88947-1</t>
        </is>
      </c>
    </row>
    <row r="5" ht="26.25" customHeight="1">
      <c r="A5" s="4" t="inlineStr"/>
      <c r="B5" s="4" t="inlineStr">
        <is>
          <t>Spathiphyllum ayalae</t>
        </is>
      </c>
      <c r="C5" s="4" t="inlineStr"/>
      <c r="D5" s="4" t="inlineStr"/>
      <c r="E5" s="4" t="inlineStr"/>
      <c r="F5" s="4" t="inlineStr"/>
      <c r="G5" s="4" t="inlineStr">
        <is>
          <t>Panama</t>
        </is>
      </c>
      <c r="H5" s="4" t="inlineStr"/>
      <c r="I5" s="4">
        <f>left(RIGHT(J5,5),4)</f>
        <v/>
      </c>
      <c r="J5" s="4" t="inlineStr">
        <is>
          <t>Aroideana 47(2): 35 (2024)</t>
        </is>
      </c>
      <c r="K5" s="4" t="inlineStr"/>
      <c r="L5" s="5" t="inlineStr"/>
      <c r="M5" s="5" t="inlineStr"/>
      <c r="N5" s="5" t="inlineStr"/>
      <c r="O5" s="5" t="inlineStr"/>
      <c r="P5" s="5" t="inlineStr"/>
      <c r="Q5" s="6" t="inlineStr"/>
      <c r="R5" s="5" t="inlineStr"/>
      <c r="S5" s="5" t="inlineStr"/>
      <c r="T5" s="5" t="inlineStr"/>
      <c r="U5" s="5" t="inlineStr"/>
      <c r="V5" s="7" t="inlineStr"/>
      <c r="W5" s="7" t="inlineStr"/>
      <c r="X5" s="7" t="inlineStr"/>
      <c r="Y5" s="5" t="inlineStr"/>
      <c r="Z5" s="7" t="inlineStr">
        <is>
          <t>https://powo.science.kew.org/taxon/urn%3Alsid%3Aipni.org%3Anames%3A77350336-1</t>
        </is>
      </c>
    </row>
    <row r="6" ht="26.25" customHeight="1">
      <c r="A6" s="4" t="inlineStr"/>
      <c r="B6" s="4" t="inlineStr">
        <is>
          <t>Spathiphyllum barbourii</t>
        </is>
      </c>
      <c r="C6" s="4" t="inlineStr"/>
      <c r="D6" s="4" t="inlineStr"/>
      <c r="E6" s="4" t="inlineStr"/>
      <c r="F6" s="4" t="inlineStr"/>
      <c r="G6" s="4" t="inlineStr">
        <is>
          <t>N. Peru</t>
        </is>
      </c>
      <c r="H6" s="4" t="inlineStr"/>
      <c r="I6" s="4">
        <f>left(RIGHT(J6,5),4)</f>
        <v/>
      </c>
      <c r="J6" s="4" t="inlineStr">
        <is>
          <t>Rodriguésia 56: 117 (2005)</t>
        </is>
      </c>
      <c r="K6" s="4" t="inlineStr"/>
      <c r="L6" s="5" t="inlineStr"/>
      <c r="M6" s="5" t="inlineStr"/>
      <c r="N6" s="5" t="inlineStr"/>
      <c r="O6" s="5" t="inlineStr"/>
      <c r="P6" s="5" t="inlineStr"/>
      <c r="Q6" s="6" t="inlineStr"/>
      <c r="R6" s="5" t="inlineStr"/>
      <c r="S6" s="5" t="inlineStr"/>
      <c r="T6" s="5" t="inlineStr"/>
      <c r="U6" s="5" t="inlineStr"/>
      <c r="V6" s="7" t="inlineStr"/>
      <c r="W6" s="7" t="inlineStr"/>
      <c r="X6" s="7" t="inlineStr"/>
      <c r="Y6" s="5" t="inlineStr"/>
      <c r="Z6" s="7" t="inlineStr">
        <is>
          <t>https://powo.science.kew.org/taxon/urn%3Alsid%3Aipni.org%3Anames%3A60441724-2</t>
        </is>
      </c>
    </row>
    <row r="7" ht="26.25" customHeight="1">
      <c r="A7" s="4" t="inlineStr"/>
      <c r="B7" s="4" t="inlineStr">
        <is>
          <t>Spathiphyllum bariense</t>
        </is>
      </c>
      <c r="C7" s="4" t="inlineStr"/>
      <c r="D7" s="4" t="inlineStr"/>
      <c r="E7" s="4" t="inlineStr"/>
      <c r="F7" s="4" t="inlineStr"/>
      <c r="G7" s="4" t="inlineStr">
        <is>
          <t>Venezuela (Amazonas)</t>
        </is>
      </c>
      <c r="H7" s="4" t="inlineStr"/>
      <c r="I7" s="4">
        <f>left(RIGHT(J7,5),4)</f>
        <v/>
      </c>
      <c r="J7" s="4" t="inlineStr">
        <is>
          <t>Phytologia 64: 480 (1988)</t>
        </is>
      </c>
      <c r="K7" s="4" t="inlineStr"/>
      <c r="L7" s="5" t="inlineStr"/>
      <c r="M7" s="5" t="inlineStr"/>
      <c r="N7" s="5" t="inlineStr"/>
      <c r="O7" s="5" t="inlineStr"/>
      <c r="P7" s="5" t="inlineStr"/>
      <c r="Q7" s="6" t="inlineStr"/>
      <c r="R7" s="5" t="inlineStr"/>
      <c r="S7" s="5" t="inlineStr"/>
      <c r="T7" s="5" t="inlineStr"/>
      <c r="U7" s="5" t="inlineStr"/>
      <c r="V7" s="7" t="inlineStr"/>
      <c r="W7" s="7" t="inlineStr"/>
      <c r="X7" s="7" t="inlineStr"/>
      <c r="Y7" s="5" t="inlineStr"/>
      <c r="Z7" s="7" t="inlineStr">
        <is>
          <t>https://powo.science.kew.org/taxon/urn%3Alsid%3Aipni.org%3Anames%3A285402-2</t>
        </is>
      </c>
    </row>
    <row r="8" ht="26.25" customHeight="1">
      <c r="A8" s="4" t="inlineStr"/>
      <c r="B8" s="4" t="inlineStr">
        <is>
          <t>Spathiphyllum blandum</t>
        </is>
      </c>
      <c r="C8" s="4" t="inlineStr"/>
      <c r="D8" s="4" t="inlineStr"/>
      <c r="E8" s="4" t="inlineStr"/>
      <c r="F8" s="4" t="inlineStr"/>
      <c r="G8" s="4" t="inlineStr">
        <is>
          <t>S. Mexico to C. America</t>
        </is>
      </c>
      <c r="H8" s="4" t="inlineStr"/>
      <c r="I8" s="4">
        <f>left(RIGHT(J8,5),4)</f>
        <v/>
      </c>
      <c r="J8" s="4" t="inlineStr">
        <is>
          <t>Oesterr. Bot. Wochenbl. 7: 159 (1857)</t>
        </is>
      </c>
      <c r="K8" s="4" t="inlineStr"/>
      <c r="L8" s="5" t="inlineStr"/>
      <c r="M8" s="5" t="inlineStr"/>
      <c r="N8" s="5" t="inlineStr"/>
      <c r="O8" s="5" t="inlineStr"/>
      <c r="P8" s="5" t="inlineStr"/>
      <c r="Q8" s="6" t="inlineStr"/>
      <c r="R8" s="5" t="inlineStr"/>
      <c r="S8" s="5" t="inlineStr"/>
      <c r="T8" s="5" t="inlineStr"/>
      <c r="U8" s="5" t="inlineStr"/>
      <c r="V8" s="7" t="inlineStr"/>
      <c r="W8" s="7" t="inlineStr"/>
      <c r="X8" s="7" t="inlineStr"/>
      <c r="Y8" s="5" t="inlineStr"/>
      <c r="Z8" s="7" t="inlineStr">
        <is>
          <t>https://powo.science.kew.org/taxon/urn%3Alsid%3Aipni.org%3Anames%3A88949-1</t>
        </is>
      </c>
    </row>
    <row r="9" ht="26.25" customHeight="1">
      <c r="A9" s="4" t="inlineStr"/>
      <c r="B9" s="4" t="inlineStr">
        <is>
          <t>Spathiphyllum bobdressleri</t>
        </is>
      </c>
      <c r="C9" s="4" t="inlineStr"/>
      <c r="D9" s="4" t="inlineStr"/>
      <c r="E9" s="4" t="inlineStr"/>
      <c r="F9" s="4" t="inlineStr"/>
      <c r="G9" s="4" t="inlineStr">
        <is>
          <t>Panama</t>
        </is>
      </c>
      <c r="H9" s="4" t="inlineStr"/>
      <c r="I9" s="4">
        <f>left(RIGHT(J9,5),4)</f>
        <v/>
      </c>
      <c r="J9" s="4" t="inlineStr">
        <is>
          <t>Aroideana 47(2): 52 (2024)</t>
        </is>
      </c>
      <c r="K9" s="4" t="inlineStr"/>
      <c r="L9" s="5" t="inlineStr"/>
      <c r="M9" s="5" t="inlineStr"/>
      <c r="N9" s="5" t="inlineStr"/>
      <c r="O9" s="5" t="inlineStr"/>
      <c r="P9" s="5" t="inlineStr"/>
      <c r="Q9" s="6" t="inlineStr"/>
      <c r="R9" s="5" t="inlineStr"/>
      <c r="S9" s="5" t="inlineStr"/>
      <c r="T9" s="5" t="inlineStr"/>
      <c r="U9" s="5" t="inlineStr"/>
      <c r="V9" s="7" t="inlineStr"/>
      <c r="W9" s="7" t="inlineStr"/>
      <c r="X9" s="7" t="inlineStr"/>
      <c r="Y9" s="5" t="inlineStr"/>
      <c r="Z9" s="7" t="inlineStr">
        <is>
          <t>https://powo.science.kew.org/taxon/urn%3Alsid%3Aipni.org%3Anames%3A77350340-1</t>
        </is>
      </c>
    </row>
    <row r="10" ht="26.25" customHeight="1">
      <c r="A10" s="4" t="inlineStr"/>
      <c r="B10" s="4" t="inlineStr">
        <is>
          <t>Spathiphyllum bonyicense</t>
        </is>
      </c>
      <c r="C10" s="4" t="inlineStr"/>
      <c r="D10" s="4" t="inlineStr"/>
      <c r="E10" s="4" t="inlineStr"/>
      <c r="F10" s="4" t="inlineStr"/>
      <c r="G10" s="4" t="inlineStr">
        <is>
          <t>Panama</t>
        </is>
      </c>
      <c r="H10" s="4" t="inlineStr"/>
      <c r="I10" s="4">
        <f>left(RIGHT(J10,5),4)</f>
        <v/>
      </c>
      <c r="J10" s="4" t="inlineStr">
        <is>
          <t>Aroideana 47(2): 61 (2024)</t>
        </is>
      </c>
      <c r="K10" s="4" t="inlineStr"/>
      <c r="L10" s="5" t="inlineStr"/>
      <c r="M10" s="5" t="inlineStr"/>
      <c r="N10" s="5" t="inlineStr"/>
      <c r="O10" s="5" t="inlineStr"/>
      <c r="P10" s="5" t="inlineStr"/>
      <c r="Q10" s="6" t="inlineStr"/>
      <c r="R10" s="5" t="inlineStr"/>
      <c r="S10" s="5" t="inlineStr"/>
      <c r="T10" s="5" t="inlineStr"/>
      <c r="U10" s="5" t="inlineStr"/>
      <c r="V10" s="7" t="inlineStr"/>
      <c r="W10" s="7" t="inlineStr"/>
      <c r="X10" s="7" t="inlineStr"/>
      <c r="Y10" s="5" t="inlineStr"/>
      <c r="Z10" s="7" t="inlineStr">
        <is>
          <t>https://powo.science.kew.org/taxon/urn%3Alsid%3Aipni.org%3Anames%3A77350341-1</t>
        </is>
      </c>
    </row>
    <row r="11" ht="26.25" customHeight="1">
      <c r="A11" s="4" t="inlineStr"/>
      <c r="B11" s="4" t="inlineStr">
        <is>
          <t>Spathiphyllum brent-berlinii</t>
        </is>
      </c>
      <c r="C11" s="4" t="inlineStr"/>
      <c r="D11" s="4" t="inlineStr"/>
      <c r="E11" s="4" t="inlineStr"/>
      <c r="F11" s="4" t="inlineStr"/>
      <c r="G11" s="4" t="inlineStr">
        <is>
          <t>N. Peru</t>
        </is>
      </c>
      <c r="H11" s="4" t="inlineStr"/>
      <c r="I11" s="4">
        <f>left(RIGHT(J11,5),4)</f>
        <v/>
      </c>
      <c r="J11" s="4" t="inlineStr">
        <is>
          <t>Rodriguésia 56: 118 (2005)</t>
        </is>
      </c>
      <c r="K11" s="4" t="inlineStr"/>
      <c r="L11" s="5" t="inlineStr"/>
      <c r="M11" s="5" t="inlineStr"/>
      <c r="N11" s="5" t="inlineStr"/>
      <c r="O11" s="5" t="inlineStr"/>
      <c r="P11" s="5" t="inlineStr"/>
      <c r="Q11" s="6" t="inlineStr"/>
      <c r="R11" s="5" t="inlineStr"/>
      <c r="S11" s="5" t="inlineStr"/>
      <c r="T11" s="5" t="inlineStr"/>
      <c r="U11" s="5" t="inlineStr"/>
      <c r="V11" s="7" t="inlineStr"/>
      <c r="W11" s="7" t="inlineStr"/>
      <c r="X11" s="7" t="inlineStr"/>
      <c r="Y11" s="5" t="inlineStr"/>
      <c r="Z11" s="7" t="inlineStr">
        <is>
          <t>https://powo.science.kew.org/taxon/urn%3Alsid%3Aipni.org%3Anames%3A60441725-2</t>
        </is>
      </c>
    </row>
    <row r="12" ht="26.25" customHeight="1">
      <c r="A12" s="4" t="inlineStr"/>
      <c r="B12" s="4" t="inlineStr">
        <is>
          <t>Spathiphyllum brevirostre</t>
        </is>
      </c>
      <c r="C12" s="4" t="inlineStr">
        <is>
          <t>Hydnostachyon brevirostre Liebm.</t>
        </is>
      </c>
      <c r="D12" s="4" t="inlineStr"/>
      <c r="E12" s="4" t="inlineStr"/>
      <c r="F12" s="4" t="inlineStr"/>
      <c r="G12" s="4" t="inlineStr">
        <is>
          <t>Mexico (Veracruz, E. Oaxaca, Chiapas) to Belize</t>
        </is>
      </c>
      <c r="H12" s="4" t="inlineStr"/>
      <c r="I12" s="4">
        <f>left(RIGHT(J12,5),4)</f>
        <v/>
      </c>
      <c r="J12" s="4" t="inlineStr">
        <is>
          <t>Aroideae 1: 2 (1853)</t>
        </is>
      </c>
      <c r="K12" s="4" t="inlineStr"/>
      <c r="L12" s="5" t="inlineStr"/>
      <c r="M12" s="5" t="inlineStr"/>
      <c r="N12" s="5" t="inlineStr"/>
      <c r="O12" s="5" t="inlineStr"/>
      <c r="P12" s="5" t="inlineStr"/>
      <c r="Q12" s="6" t="inlineStr"/>
      <c r="R12" s="5" t="inlineStr"/>
      <c r="S12" s="5" t="inlineStr"/>
      <c r="T12" s="5" t="inlineStr"/>
      <c r="U12" s="5" t="inlineStr"/>
      <c r="V12" s="7" t="inlineStr"/>
      <c r="W12" s="7" t="inlineStr"/>
      <c r="X12" s="7" t="inlineStr"/>
      <c r="Y12" s="5" t="inlineStr"/>
      <c r="Z12" s="7" t="inlineStr">
        <is>
          <t>https://powo.science.kew.org/taxon/urn%3Alsid%3Aipni.org%3Anames%3A88951-1</t>
        </is>
      </c>
    </row>
    <row r="13" ht="26.25" customHeight="1">
      <c r="A13" s="4" t="inlineStr"/>
      <c r="B13" s="4" t="inlineStr">
        <is>
          <t>Spathiphyllum buntingianum</t>
        </is>
      </c>
      <c r="C13" s="4" t="inlineStr"/>
      <c r="D13" s="4" t="inlineStr"/>
      <c r="E13" s="4" t="inlineStr"/>
      <c r="F13" s="4" t="inlineStr"/>
      <c r="G13" s="4" t="inlineStr">
        <is>
          <t>N. Peru</t>
        </is>
      </c>
      <c r="H13" s="4" t="inlineStr"/>
      <c r="I13" s="4">
        <f>left(RIGHT(J13,5),4)</f>
        <v/>
      </c>
      <c r="J13" s="4" t="inlineStr">
        <is>
          <t>Rodriguésia 56: 120 (2005)</t>
        </is>
      </c>
      <c r="K13" s="4" t="inlineStr"/>
      <c r="L13" s="5" t="inlineStr"/>
      <c r="M13" s="5" t="inlineStr"/>
      <c r="N13" s="5" t="inlineStr"/>
      <c r="O13" s="5" t="inlineStr"/>
      <c r="P13" s="5" t="inlineStr"/>
      <c r="Q13" s="6" t="inlineStr"/>
      <c r="R13" s="5" t="inlineStr"/>
      <c r="S13" s="5" t="inlineStr"/>
      <c r="T13" s="5" t="inlineStr"/>
      <c r="U13" s="5" t="inlineStr"/>
      <c r="V13" s="7" t="inlineStr"/>
      <c r="W13" s="7" t="inlineStr"/>
      <c r="X13" s="7" t="inlineStr"/>
      <c r="Y13" s="5" t="inlineStr"/>
      <c r="Z13" s="7" t="inlineStr">
        <is>
          <t>https://powo.science.kew.org/taxon/urn%3Alsid%3Aipni.org%3Anames%3A60441726-2</t>
        </is>
      </c>
    </row>
    <row r="14" ht="26.25" customHeight="1">
      <c r="A14" s="4" t="inlineStr"/>
      <c r="B14" s="4" t="inlineStr">
        <is>
          <t>Spathiphyllum cannifolium</t>
        </is>
      </c>
      <c r="C14" s="4" t="inlineStr">
        <is>
          <t>Dracunculus cannifolius (Dryand. ex Sims) Raf.; Massowia cannifolia (Dryand. ex Sims) K.Koch; Philodendron cannifolium (Dryand. ex Sims) Sweet; Pothos cannifolius Dryand. ex Sims</t>
        </is>
      </c>
      <c r="D14" s="4" t="inlineStr">
        <is>
          <t>Anthurium dechardii Andrews; Leucochlamys callacea Poepp. ex Engl.; Massowia canniformis (Kunth) K.Koch; Pothos canniformis Kunth; Pothos leucophaeus Poepp. ex Engl.; Pothos odoratus Anderson ex Sims; Spathiphyllum bonplandii Schott; Spathiphyllum candicans Poepp.; Spathiphyllum cannifolium var. nanum Engl.; Spathiphyllum canniforme (Kunth) Engl.; Spathiphyllum dechardii (Andrews) L.Gentil</t>
        </is>
      </c>
      <c r="E14" s="4" t="inlineStr"/>
      <c r="F14" s="4" t="inlineStr"/>
      <c r="G14" s="4" t="inlineStr">
        <is>
          <t>Trinidad to S. Trop. America</t>
        </is>
      </c>
      <c r="H14" s="4" t="inlineStr"/>
      <c r="I14" s="4">
        <f>left(RIGHT(J14,5),4)</f>
        <v/>
      </c>
      <c r="J14" s="4" t="inlineStr">
        <is>
          <t>Aroideae 1: 1 (1853)</t>
        </is>
      </c>
      <c r="K14" s="4" t="inlineStr"/>
      <c r="L14" s="5" t="inlineStr"/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inlineStr"/>
      <c r="U14" s="5" t="inlineStr"/>
      <c r="V14" s="7" t="inlineStr"/>
      <c r="W14" s="7" t="inlineStr"/>
      <c r="X14" s="7" t="inlineStr"/>
      <c r="Y14" s="5" t="inlineStr"/>
      <c r="Z14" s="7" t="inlineStr">
        <is>
          <t>https://powo.science.kew.org/taxon/urn%3Alsid%3Aipni.org%3Anames%3A88955-1</t>
        </is>
      </c>
    </row>
    <row r="15" ht="26.25" customHeight="1">
      <c r="A15" s="4" t="inlineStr"/>
      <c r="B15" s="4" t="inlineStr">
        <is>
          <t>Spathiphyllum cardonanum</t>
        </is>
      </c>
      <c r="C15" s="4" t="inlineStr"/>
      <c r="D15" s="4" t="inlineStr"/>
      <c r="E15" s="4" t="inlineStr"/>
      <c r="F15" s="4" t="inlineStr"/>
      <c r="G15" s="4" t="inlineStr">
        <is>
          <t>Costa Rica</t>
        </is>
      </c>
      <c r="H15" s="4" t="inlineStr"/>
      <c r="I15" s="4">
        <f>left(RIGHT(J15,5),4)</f>
        <v/>
      </c>
      <c r="J15" s="4" t="inlineStr">
        <is>
          <t>Aroideana 47(2): 73 (2024)</t>
        </is>
      </c>
      <c r="K15" s="4" t="inlineStr"/>
      <c r="L15" s="5" t="inlineStr"/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inlineStr"/>
      <c r="U15" s="5" t="inlineStr"/>
      <c r="V15" s="7" t="inlineStr"/>
      <c r="W15" s="7" t="inlineStr"/>
      <c r="X15" s="7" t="inlineStr"/>
      <c r="Y15" s="5" t="inlineStr"/>
      <c r="Z15" s="7" t="inlineStr">
        <is>
          <t>https://powo.science.kew.org/taxon/urn%3Alsid%3Aipni.org%3Anames%3A77350342-1</t>
        </is>
      </c>
    </row>
    <row r="16" ht="26.25" customHeight="1">
      <c r="A16" s="4" t="inlineStr"/>
      <c r="B16" s="4" t="inlineStr">
        <is>
          <t>Spathiphyllum clewellii</t>
        </is>
      </c>
      <c r="C16" s="4" t="inlineStr"/>
      <c r="D16" s="4" t="inlineStr"/>
      <c r="E16" s="4" t="inlineStr"/>
      <c r="F16" s="4" t="inlineStr"/>
      <c r="G16" s="4" t="inlineStr">
        <is>
          <t>Honduras</t>
        </is>
      </c>
      <c r="H16" s="4" t="inlineStr"/>
      <c r="I16" s="4">
        <f>left(RIGHT(J16,5),4)</f>
        <v/>
      </c>
      <c r="J16" s="4" t="inlineStr">
        <is>
          <t>Aroideana 47(2): 79 (2024)</t>
        </is>
      </c>
      <c r="K16" s="4" t="inlineStr"/>
      <c r="L16" s="5" t="inlineStr"/>
      <c r="M16" s="5" t="inlineStr"/>
      <c r="N16" s="5" t="inlineStr"/>
      <c r="O16" s="5" t="inlineStr"/>
      <c r="P16" s="5" t="inlineStr"/>
      <c r="Q16" s="6" t="inlineStr"/>
      <c r="R16" s="5" t="inlineStr"/>
      <c r="S16" s="5" t="inlineStr"/>
      <c r="T16" s="5" t="inlineStr"/>
      <c r="U16" s="5" t="inlineStr"/>
      <c r="V16" s="7" t="inlineStr"/>
      <c r="W16" s="7" t="inlineStr"/>
      <c r="X16" s="7" t="inlineStr"/>
      <c r="Y16" s="5" t="inlineStr"/>
      <c r="Z16" s="7" t="inlineStr">
        <is>
          <t>https://powo.science.kew.org/taxon/urn%3Alsid%3Aipni.org%3Anames%3A77350344-1</t>
        </is>
      </c>
    </row>
    <row r="17" ht="26.25" customHeight="1">
      <c r="A17" s="4" t="inlineStr"/>
      <c r="B17" s="4" t="inlineStr">
        <is>
          <t>Spathiphyllum cochlearispathum</t>
        </is>
      </c>
      <c r="C17" s="4" t="inlineStr">
        <is>
          <t>Hydnostachyon cochlearispathum Liebm.</t>
        </is>
      </c>
      <c r="D17" s="4" t="inlineStr">
        <is>
          <t>Hydnostachyon longirostre Liebm.; Massowia heliconiifolia (Schott) K.Koch; Massowia lanceolata K.Koch; Spathiphyllum cochlearispathum var. longirostre (Liebm.) Engl.; Spathiphyllum heliconiifolium Schott; Spathiphyllum lacustre Lundell; Spathiphyllum lanceolatum (K.Koch) K.Koch; Spathiphyllum liebmannii Schott; Spathiphyllum longirostre (Liebm.) Schott</t>
        </is>
      </c>
      <c r="E17" s="4" t="inlineStr"/>
      <c r="F17" s="4" t="inlineStr"/>
      <c r="G17" s="4" t="inlineStr">
        <is>
          <t>C. &amp; S. Mexico</t>
        </is>
      </c>
      <c r="H17" s="4" t="inlineStr"/>
      <c r="I17" s="4">
        <f>left(RIGHT(J17,5),4)</f>
        <v/>
      </c>
      <c r="J17" s="4" t="inlineStr">
        <is>
          <t>A.L.P.P.de Candolle &amp; A.C.P.de Candolle, Monogr. Phan. 2: 221 (1879)</t>
        </is>
      </c>
      <c r="K17" s="4" t="inlineStr"/>
      <c r="L17" s="5" t="inlineStr"/>
      <c r="M17" s="5" t="inlineStr"/>
      <c r="N17" s="5" t="inlineStr"/>
      <c r="O17" s="5" t="inlineStr"/>
      <c r="P17" s="5" t="inlineStr"/>
      <c r="Q17" s="6" t="inlineStr"/>
      <c r="R17" s="5" t="inlineStr"/>
      <c r="S17" s="5" t="inlineStr"/>
      <c r="T17" s="5" t="inlineStr"/>
      <c r="U17" s="5" t="inlineStr"/>
      <c r="V17" s="7" t="inlineStr"/>
      <c r="W17" s="7" t="inlineStr"/>
      <c r="X17" s="7" t="inlineStr"/>
      <c r="Y17" s="5" t="inlineStr"/>
      <c r="Z17" s="7" t="inlineStr">
        <is>
          <t>https://powo.science.kew.org/taxon/urn%3Alsid%3Aipni.org%3Anames%3A88958-1</t>
        </is>
      </c>
    </row>
    <row r="18" ht="26.25" customHeight="1">
      <c r="A18" s="4" t="inlineStr"/>
      <c r="B18" s="4" t="inlineStr">
        <is>
          <t>Spathiphyllum commutatum</t>
        </is>
      </c>
      <c r="C18" s="4" t="inlineStr">
        <is>
          <t>Massowia commutata (Schott) Ender</t>
        </is>
      </c>
      <c r="D18" s="4" t="inlineStr">
        <is>
          <t>Spathiphyllopsis minahassae Teijsm. &amp; Binn.; Spathiphyllum funereum Tuyama; Spathiphyllum micronesicum Hatus.; Spathiphyllum minahassae (Teijsm. &amp; Binn.) Regel</t>
        </is>
      </c>
      <c r="E18" s="4" t="inlineStr"/>
      <c r="F18" s="4" t="inlineStr"/>
      <c r="G18" s="4" t="inlineStr">
        <is>
          <t>C. &amp; E. Malesia to Caroline Is. (Palau)</t>
        </is>
      </c>
      <c r="H18" s="4" t="inlineStr"/>
      <c r="I18" s="4">
        <f>left(RIGHT(J18,5),4)</f>
        <v/>
      </c>
      <c r="J18" s="4" t="inlineStr">
        <is>
          <t>Oesterr. Bot. Wochenbl. 7: 158 (1857)</t>
        </is>
      </c>
      <c r="K18" s="4" t="inlineStr"/>
      <c r="L18" s="5" t="inlineStr"/>
      <c r="M18" s="5" t="inlineStr"/>
      <c r="N18" s="5" t="inlineStr"/>
      <c r="O18" s="5" t="inlineStr"/>
      <c r="P18" s="5" t="inlineStr"/>
      <c r="Q18" s="6" t="inlineStr"/>
      <c r="R18" s="5" t="inlineStr"/>
      <c r="S18" s="5" t="inlineStr"/>
      <c r="T18" s="5" t="inlineStr"/>
      <c r="U18" s="5" t="inlineStr"/>
      <c r="V18" s="7" t="inlineStr"/>
      <c r="W18" s="7" t="inlineStr"/>
      <c r="X18" s="7" t="inlineStr"/>
      <c r="Y18" s="5" t="inlineStr"/>
      <c r="Z18" s="7" t="inlineStr">
        <is>
          <t>https://powo.science.kew.org/taxon/urn%3Alsid%3Aipni.org%3Anames%3A88959-1</t>
        </is>
      </c>
    </row>
    <row r="19" ht="26.25" customHeight="1">
      <c r="A19" s="4" t="inlineStr"/>
      <c r="B19" s="4" t="inlineStr">
        <is>
          <t>Spathiphyllum cotonense</t>
        </is>
      </c>
      <c r="C19" s="4" t="inlineStr"/>
      <c r="D19" s="4" t="inlineStr"/>
      <c r="E19" s="4" t="inlineStr"/>
      <c r="F19" s="4" t="inlineStr"/>
      <c r="G19" s="4" t="inlineStr">
        <is>
          <t>Costa Rica</t>
        </is>
      </c>
      <c r="H19" s="4" t="inlineStr"/>
      <c r="I19" s="4">
        <f>left(RIGHT(J19,5),4)</f>
        <v/>
      </c>
      <c r="J19" s="4" t="inlineStr">
        <is>
          <t>Aroideana 47(2): 96 (2024)</t>
        </is>
      </c>
      <c r="K19" s="4" t="inlineStr"/>
      <c r="L19" s="5" t="inlineStr"/>
      <c r="M19" s="5" t="inlineStr"/>
      <c r="N19" s="5" t="inlineStr"/>
      <c r="O19" s="5" t="inlineStr"/>
      <c r="P19" s="5" t="inlineStr"/>
      <c r="Q19" s="6" t="inlineStr"/>
      <c r="R19" s="5" t="inlineStr"/>
      <c r="S19" s="5" t="inlineStr"/>
      <c r="T19" s="5" t="inlineStr"/>
      <c r="U19" s="5" t="inlineStr"/>
      <c r="V19" s="7" t="inlineStr"/>
      <c r="W19" s="7" t="inlineStr"/>
      <c r="X19" s="7" t="inlineStr"/>
      <c r="Y19" s="5" t="inlineStr"/>
      <c r="Z19" s="7" t="inlineStr">
        <is>
          <t>https://powo.science.kew.org/taxon/urn%3Alsid%3Aipni.org%3Anames%3A77350345-1</t>
        </is>
      </c>
    </row>
    <row r="20" ht="26.25" customHeight="1">
      <c r="A20" s="4" t="inlineStr"/>
      <c r="B20" s="4" t="inlineStr">
        <is>
          <t>Spathiphyllum croatii</t>
        </is>
      </c>
      <c r="C20" s="4" t="inlineStr"/>
      <c r="D20" s="4" t="inlineStr"/>
      <c r="E20" s="4" t="inlineStr"/>
      <c r="F20" s="4" t="inlineStr"/>
      <c r="G20" s="4" t="inlineStr">
        <is>
          <t>Mexico (Veracruz)</t>
        </is>
      </c>
      <c r="H20" s="4" t="inlineStr"/>
      <c r="I20" s="4">
        <f>left(RIGHT(J20,5),4)</f>
        <v/>
      </c>
      <c r="J20" s="4" t="inlineStr">
        <is>
          <t>Phytotaxa 522: 58 (2021)</t>
        </is>
      </c>
      <c r="K20" s="4" t="inlineStr"/>
      <c r="L20" s="5" t="inlineStr"/>
      <c r="M20" s="5" t="inlineStr"/>
      <c r="N20" s="5" t="inlineStr"/>
      <c r="O20" s="5" t="inlineStr"/>
      <c r="P20" s="5" t="inlineStr"/>
      <c r="Q20" s="6" t="inlineStr"/>
      <c r="R20" s="5" t="inlineStr"/>
      <c r="S20" s="5" t="inlineStr"/>
      <c r="T20" s="5" t="inlineStr"/>
      <c r="U20" s="5" t="inlineStr"/>
      <c r="V20" s="7" t="inlineStr"/>
      <c r="W20" s="7" t="inlineStr"/>
      <c r="X20" s="7" t="inlineStr"/>
      <c r="Y20" s="5" t="inlineStr"/>
      <c r="Z20" s="7" t="inlineStr">
        <is>
          <t>https://powo.science.kew.org/taxon/urn%3Alsid%3Aipni.org%3Anames%3A77221416-1</t>
        </is>
      </c>
    </row>
    <row r="21" ht="26.25" customHeight="1">
      <c r="A21" s="4" t="inlineStr"/>
      <c r="B21" s="4" t="inlineStr">
        <is>
          <t>Spathiphyllum cuspidatum</t>
        </is>
      </c>
      <c r="C21" s="4" t="inlineStr"/>
      <c r="D21" s="4" t="inlineStr"/>
      <c r="E21" s="4" t="inlineStr"/>
      <c r="F21" s="4" t="inlineStr"/>
      <c r="G21" s="4" t="inlineStr">
        <is>
          <t>N. South America</t>
        </is>
      </c>
      <c r="H21" s="4" t="inlineStr"/>
      <c r="I21" s="4">
        <f>left(RIGHT(J21,5),4)</f>
        <v/>
      </c>
      <c r="J21" s="4" t="inlineStr">
        <is>
          <t>Oesterr. Bot. Wochenbl. 7: 158 (1857)</t>
        </is>
      </c>
      <c r="K21" s="4" t="inlineStr"/>
      <c r="L21" s="5" t="inlineStr"/>
      <c r="M21" s="5" t="inlineStr"/>
      <c r="N21" s="5" t="inlineStr"/>
      <c r="O21" s="5" t="inlineStr"/>
      <c r="P21" s="5" t="inlineStr"/>
      <c r="Q21" s="6" t="inlineStr"/>
      <c r="R21" s="5" t="inlineStr"/>
      <c r="S21" s="5" t="inlineStr"/>
      <c r="T21" s="5" t="inlineStr"/>
      <c r="U21" s="5" t="inlineStr"/>
      <c r="V21" s="7" t="inlineStr"/>
      <c r="W21" s="7" t="inlineStr"/>
      <c r="X21" s="7" t="inlineStr"/>
      <c r="Y21" s="5" t="inlineStr"/>
      <c r="Z21" s="7" t="inlineStr">
        <is>
          <t>https://powo.science.kew.org/taxon/urn%3Alsid%3Aipni.org%3Anames%3A88960-1</t>
        </is>
      </c>
    </row>
    <row r="22" ht="26.25" customHeight="1">
      <c r="A22" s="4" t="inlineStr"/>
      <c r="B22" s="4" t="inlineStr">
        <is>
          <t>Spathiphyllum darienense</t>
        </is>
      </c>
      <c r="C22" s="4" t="inlineStr"/>
      <c r="D22" s="4" t="inlineStr"/>
      <c r="E22" s="4" t="inlineStr"/>
      <c r="F22" s="4" t="inlineStr"/>
      <c r="G22" s="4" t="inlineStr">
        <is>
          <t>Panama to Colombia</t>
        </is>
      </c>
      <c r="H22" s="4" t="inlineStr"/>
      <c r="I22" s="4">
        <f>left(RIGHT(J22,5),4)</f>
        <v/>
      </c>
      <c r="J22" s="4" t="inlineStr">
        <is>
          <t>Aroideana 47(2): 109 (2024)</t>
        </is>
      </c>
      <c r="K22" s="4" t="inlineStr"/>
      <c r="L22" s="5" t="inlineStr"/>
      <c r="M22" s="5" t="inlineStr"/>
      <c r="N22" s="5" t="inlineStr"/>
      <c r="O22" s="5" t="inlineStr"/>
      <c r="P22" s="5" t="inlineStr"/>
      <c r="Q22" s="6" t="inlineStr"/>
      <c r="R22" s="5" t="inlineStr"/>
      <c r="S22" s="5" t="inlineStr"/>
      <c r="T22" s="5" t="inlineStr"/>
      <c r="U22" s="5" t="inlineStr"/>
      <c r="V22" s="7" t="inlineStr"/>
      <c r="W22" s="7" t="inlineStr"/>
      <c r="X22" s="7" t="inlineStr"/>
      <c r="Y22" s="5" t="inlineStr"/>
      <c r="Z22" s="7" t="inlineStr">
        <is>
          <t>https://powo.science.kew.org/taxon/urn%3Alsid%3Aipni.org%3Anames%3A77350346-1</t>
        </is>
      </c>
    </row>
    <row r="23" ht="26.25" customHeight="1">
      <c r="A23" s="4" t="inlineStr"/>
      <c r="B23" s="4" t="inlineStr">
        <is>
          <t>Spathiphyllum davidneillii</t>
        </is>
      </c>
      <c r="C23" s="4" t="inlineStr"/>
      <c r="D23" s="4" t="inlineStr"/>
      <c r="E23" s="4" t="inlineStr"/>
      <c r="F23" s="4" t="inlineStr"/>
      <c r="G23" s="4" t="inlineStr">
        <is>
          <t>Ecuador</t>
        </is>
      </c>
      <c r="H23" s="4" t="inlineStr"/>
      <c r="I23" s="4">
        <f>left(RIGHT(J23,5),4)</f>
        <v/>
      </c>
      <c r="J23" s="4" t="inlineStr">
        <is>
          <t>Aroideana 44: 501 (2021)</t>
        </is>
      </c>
      <c r="K23" s="4" t="inlineStr"/>
      <c r="L23" s="5" t="inlineStr"/>
      <c r="M23" s="5" t="inlineStr"/>
      <c r="N23" s="5" t="inlineStr"/>
      <c r="O23" s="5" t="inlineStr"/>
      <c r="P23" s="5" t="inlineStr"/>
      <c r="Q23" s="6" t="inlineStr"/>
      <c r="R23" s="5" t="inlineStr"/>
      <c r="S23" s="5" t="inlineStr"/>
      <c r="T23" s="5" t="inlineStr"/>
      <c r="U23" s="5" t="inlineStr"/>
      <c r="V23" s="7" t="inlineStr"/>
      <c r="W23" s="7" t="inlineStr"/>
      <c r="X23" s="7" t="inlineStr"/>
      <c r="Y23" s="5" t="inlineStr"/>
      <c r="Z23" s="7" t="inlineStr">
        <is>
          <t>https://powo.science.kew.org/taxon/urn%3Alsid%3Aipni.org%3Anames%3A77301570-1</t>
        </is>
      </c>
    </row>
    <row r="24" ht="26.25" customHeight="1">
      <c r="A24" s="4" t="inlineStr"/>
      <c r="B24" s="4" t="inlineStr">
        <is>
          <t>Spathiphyllum diazii</t>
        </is>
      </c>
      <c r="C24" s="4" t="inlineStr"/>
      <c r="D24" s="4" t="inlineStr"/>
      <c r="E24" s="4" t="inlineStr"/>
      <c r="F24" s="4" t="inlineStr"/>
      <c r="G24" s="4" t="inlineStr">
        <is>
          <t>N. Peru</t>
        </is>
      </c>
      <c r="H24" s="4" t="inlineStr"/>
      <c r="I24" s="4">
        <f>left(RIGHT(J24,5),4)</f>
        <v/>
      </c>
      <c r="J24" s="4" t="inlineStr">
        <is>
          <t>Rodriguésia 56: 121 (2005)</t>
        </is>
      </c>
      <c r="K24" s="4" t="inlineStr"/>
      <c r="L24" s="5" t="inlineStr"/>
      <c r="M24" s="5" t="inlineStr"/>
      <c r="N24" s="5" t="inlineStr"/>
      <c r="O24" s="5" t="inlineStr"/>
      <c r="P24" s="5" t="inlineStr"/>
      <c r="Q24" s="6" t="inlineStr"/>
      <c r="R24" s="5" t="inlineStr"/>
      <c r="S24" s="5" t="inlineStr"/>
      <c r="T24" s="5" t="inlineStr"/>
      <c r="U24" s="5" t="inlineStr"/>
      <c r="V24" s="7" t="inlineStr"/>
      <c r="W24" s="7" t="inlineStr"/>
      <c r="X24" s="7" t="inlineStr"/>
      <c r="Y24" s="5" t="inlineStr"/>
      <c r="Z24" s="7" t="inlineStr">
        <is>
          <t>https://powo.science.kew.org/taxon/urn%3Alsid%3Aipni.org%3Anames%3A60441727-2</t>
        </is>
      </c>
    </row>
    <row r="25" ht="26.25" customHeight="1">
      <c r="A25" s="4" t="inlineStr"/>
      <c r="B25" s="4" t="inlineStr">
        <is>
          <t>Spathiphyllum dressleri</t>
        </is>
      </c>
      <c r="C25" s="4" t="inlineStr"/>
      <c r="D25" s="4" t="inlineStr"/>
      <c r="E25" s="4" t="inlineStr"/>
      <c r="F25" s="4" t="inlineStr"/>
      <c r="G25" s="4" t="inlineStr">
        <is>
          <t>Costa Rica to NW. Colombia</t>
        </is>
      </c>
      <c r="H25" s="4" t="inlineStr"/>
      <c r="I25" s="4">
        <f>left(RIGHT(J25,5),4)</f>
        <v/>
      </c>
      <c r="J25" s="4" t="inlineStr">
        <is>
          <t>Aroideana 27: 139 (2004)</t>
        </is>
      </c>
      <c r="K25" s="4" t="inlineStr"/>
      <c r="L25" s="5" t="inlineStr"/>
      <c r="M25" s="5" t="inlineStr"/>
      <c r="N25" s="5" t="inlineStr"/>
      <c r="O25" s="5" t="inlineStr"/>
      <c r="P25" s="5" t="inlineStr"/>
      <c r="Q25" s="6" t="inlineStr"/>
      <c r="R25" s="5" t="inlineStr"/>
      <c r="S25" s="5" t="inlineStr"/>
      <c r="T25" s="5" t="inlineStr"/>
      <c r="U25" s="5" t="inlineStr"/>
      <c r="V25" s="7" t="inlineStr"/>
      <c r="W25" s="7" t="inlineStr"/>
      <c r="X25" s="7" t="inlineStr"/>
      <c r="Y25" s="5" t="inlineStr"/>
      <c r="Z25" s="7" t="inlineStr">
        <is>
          <t>https://powo.science.kew.org/taxon/urn%3Alsid%3Aipni.org%3Anames%3A60436421-2</t>
        </is>
      </c>
    </row>
    <row r="26" ht="26.25" customHeight="1">
      <c r="A26" s="4" t="inlineStr"/>
      <c r="B26" s="4" t="inlineStr">
        <is>
          <t>Spathiphyllum floribundum</t>
        </is>
      </c>
      <c r="C26" s="4" t="inlineStr">
        <is>
          <t>Amomophyllum floribundum (Linden &amp; André) Engl.; Anthurium floribundum Linden &amp; André</t>
        </is>
      </c>
      <c r="D26" s="4" t="inlineStr">
        <is>
          <t>Spathiphyllum floribundum var. cuneatum Engl.</t>
        </is>
      </c>
      <c r="E26" s="4" t="inlineStr"/>
      <c r="F26" s="4" t="inlineStr"/>
      <c r="G26" s="4" t="inlineStr">
        <is>
          <t>Colombia to NW. Venezuela and N. Peru</t>
        </is>
      </c>
      <c r="H26" s="4" t="inlineStr"/>
      <c r="I26" s="4">
        <f>left(RIGHT(J26,5),4)</f>
        <v/>
      </c>
      <c r="J26" s="4" t="inlineStr">
        <is>
          <t>Gard. Chron., n.s., 10: 783 (1878)</t>
        </is>
      </c>
      <c r="K26" s="4" t="inlineStr"/>
      <c r="L26" s="5" t="inlineStr"/>
      <c r="M26" s="5" t="inlineStr"/>
      <c r="N26" s="5" t="inlineStr"/>
      <c r="O26" s="5" t="inlineStr"/>
      <c r="P26" s="5" t="inlineStr"/>
      <c r="Q26" s="6" t="inlineStr"/>
      <c r="R26" s="5" t="inlineStr"/>
      <c r="S26" s="5" t="inlineStr"/>
      <c r="T26" s="5" t="inlineStr"/>
      <c r="U26" s="5" t="inlineStr"/>
      <c r="V26" s="7" t="inlineStr"/>
      <c r="W26" s="7" t="inlineStr"/>
      <c r="X26" s="7" t="inlineStr"/>
      <c r="Y26" s="5" t="inlineStr"/>
      <c r="Z26" s="7" t="inlineStr">
        <is>
          <t>https://powo.science.kew.org/taxon/urn%3Alsid%3Aipni.org%3Anames%3A88963-1</t>
        </is>
      </c>
    </row>
    <row r="27" ht="26.25" customHeight="1">
      <c r="A27" s="4" t="inlineStr"/>
      <c r="B27" s="4" t="inlineStr">
        <is>
          <t>Spathiphyllum frailescanense</t>
        </is>
      </c>
      <c r="C27" s="4" t="inlineStr"/>
      <c r="D27" s="4" t="inlineStr"/>
      <c r="E27" s="4" t="inlineStr"/>
      <c r="F27" s="4" t="inlineStr"/>
      <c r="G27" s="4" t="inlineStr">
        <is>
          <t>Mexico (Chiapas)</t>
        </is>
      </c>
      <c r="H27" s="4" t="inlineStr"/>
      <c r="I27" s="4">
        <f>left(RIGHT(J27,5),4)</f>
        <v/>
      </c>
      <c r="J27" s="4" t="inlineStr">
        <is>
          <t>Phytotaxa 591: 165 (2023)</t>
        </is>
      </c>
      <c r="K27" s="4" t="inlineStr"/>
      <c r="L27" s="5" t="inlineStr"/>
      <c r="M27" s="5" t="inlineStr"/>
      <c r="N27" s="5" t="inlineStr"/>
      <c r="O27" s="5" t="inlineStr"/>
      <c r="P27" s="5" t="inlineStr"/>
      <c r="Q27" s="6" t="inlineStr"/>
      <c r="R27" s="5" t="inlineStr"/>
      <c r="S27" s="5" t="inlineStr"/>
      <c r="T27" s="5" t="inlineStr"/>
      <c r="U27" s="5" t="inlineStr"/>
      <c r="V27" s="7" t="inlineStr"/>
      <c r="W27" s="7" t="inlineStr"/>
      <c r="X27" s="7" t="inlineStr"/>
      <c r="Y27" s="5" t="inlineStr"/>
      <c r="Z27" s="7" t="inlineStr">
        <is>
          <t>https://powo.science.kew.org/taxon/urn%3Alsid%3Aipni.org%3Anames%3A77317192-1</t>
        </is>
      </c>
    </row>
    <row r="28" ht="26.25" customHeight="1">
      <c r="A28" s="4" t="inlineStr"/>
      <c r="B28" s="4" t="inlineStr">
        <is>
          <t>Spathiphyllum friedrichsthalii</t>
        </is>
      </c>
      <c r="C28" s="4" t="inlineStr">
        <is>
          <t>Massowia friedrichsthalii (Schott) K.Koch</t>
        </is>
      </c>
      <c r="D28" s="4" t="inlineStr">
        <is>
          <t>Spathiphyllum fendleri Schott; Spathiphyllum friedrichsthalii var. angustifolium Engl.; Spathiphyllum friedrichsthalii var. brevifolium Engl.; Spathiphyllum friedrichsthalii var. latifolium Engl.</t>
        </is>
      </c>
      <c r="E28" s="4" t="inlineStr"/>
      <c r="F28" s="4" t="inlineStr"/>
      <c r="G28" s="4" t="inlineStr">
        <is>
          <t>SE. Mexico to Colombia</t>
        </is>
      </c>
      <c r="H28" s="4" t="inlineStr"/>
      <c r="I28" s="4">
        <f>left(RIGHT(J28,5),4)</f>
        <v/>
      </c>
      <c r="J28" s="4" t="inlineStr">
        <is>
          <t>Aroideae 1: 2 (1853)</t>
        </is>
      </c>
      <c r="K28" s="4" t="inlineStr"/>
      <c r="L28" s="5" t="inlineStr"/>
      <c r="M28" s="5" t="inlineStr"/>
      <c r="N28" s="5" t="inlineStr"/>
      <c r="O28" s="5" t="inlineStr"/>
      <c r="P28" s="5" t="inlineStr"/>
      <c r="Q28" s="6" t="inlineStr"/>
      <c r="R28" s="5" t="inlineStr"/>
      <c r="S28" s="5" t="inlineStr"/>
      <c r="T28" s="5" t="inlineStr"/>
      <c r="U28" s="5" t="inlineStr"/>
      <c r="V28" s="7" t="inlineStr"/>
      <c r="W28" s="7" t="inlineStr"/>
      <c r="X28" s="7" t="inlineStr"/>
      <c r="Y28" s="5" t="inlineStr"/>
      <c r="Z28" s="7" t="inlineStr">
        <is>
          <t>https://powo.science.kew.org/taxon/urn%3Alsid%3Aipni.org%3Anames%3A88964-1</t>
        </is>
      </c>
    </row>
    <row r="29" ht="26.25" customHeight="1">
      <c r="A29" s="4" t="inlineStr"/>
      <c r="B29" s="4" t="inlineStr">
        <is>
          <t>Spathiphyllum fulvovirens</t>
        </is>
      </c>
      <c r="C29" s="4" t="inlineStr"/>
      <c r="D29" s="4" t="inlineStr"/>
      <c r="E29" s="4" t="inlineStr"/>
      <c r="F29" s="4" t="inlineStr"/>
      <c r="G29" s="4" t="inlineStr">
        <is>
          <t>SE. Nicaragua to Colombia</t>
        </is>
      </c>
      <c r="H29" s="4" t="inlineStr"/>
      <c r="I29" s="4">
        <f>left(RIGHT(J29,5),4)</f>
        <v/>
      </c>
      <c r="J29" s="4" t="inlineStr">
        <is>
          <t>Oesterr. Bot. Z. 8: 179 (1858)</t>
        </is>
      </c>
      <c r="K29" s="4" t="inlineStr"/>
      <c r="L29" s="5" t="inlineStr"/>
      <c r="M29" s="5" t="inlineStr"/>
      <c r="N29" s="5" t="inlineStr"/>
      <c r="O29" s="5" t="inlineStr"/>
      <c r="P29" s="5" t="inlineStr"/>
      <c r="Q29" s="6" t="inlineStr"/>
      <c r="R29" s="5" t="inlineStr"/>
      <c r="S29" s="5" t="inlineStr"/>
      <c r="T29" s="5" t="inlineStr"/>
      <c r="U29" s="5" t="inlineStr"/>
      <c r="V29" s="7" t="inlineStr"/>
      <c r="W29" s="7" t="inlineStr"/>
      <c r="X29" s="7" t="inlineStr"/>
      <c r="Y29" s="5" t="inlineStr"/>
      <c r="Z29" s="7" t="inlineStr">
        <is>
          <t>https://powo.science.kew.org/taxon/urn%3Alsid%3Aipni.org%3Anames%3A88965-1</t>
        </is>
      </c>
    </row>
    <row r="30" ht="26.25" customHeight="1">
      <c r="A30" s="4" t="inlineStr"/>
      <c r="B30" s="4" t="inlineStr">
        <is>
          <t>Spathiphyllum gardneri</t>
        </is>
      </c>
      <c r="C30" s="4" t="inlineStr">
        <is>
          <t>Massowia gardneri (Schott) K.Koch</t>
        </is>
      </c>
      <c r="D30" s="4" t="inlineStr"/>
      <c r="E30" s="4" t="inlineStr"/>
      <c r="F30" s="4" t="inlineStr"/>
      <c r="G30" s="4" t="inlineStr">
        <is>
          <t>Brazil</t>
        </is>
      </c>
      <c r="H30" s="4" t="inlineStr"/>
      <c r="I30" s="4">
        <f>left(RIGHT(J30,5),4)</f>
        <v/>
      </c>
      <c r="J30" s="4" t="inlineStr">
        <is>
          <t>Aroideae 1: 2 (1853)</t>
        </is>
      </c>
      <c r="K30" s="4" t="inlineStr"/>
      <c r="L30" s="5" t="inlineStr"/>
      <c r="M30" s="5" t="inlineStr"/>
      <c r="N30" s="5" t="inlineStr"/>
      <c r="O30" s="5" t="inlineStr"/>
      <c r="P30" s="5" t="inlineStr"/>
      <c r="Q30" s="6" t="inlineStr"/>
      <c r="R30" s="5" t="inlineStr"/>
      <c r="S30" s="5" t="inlineStr"/>
      <c r="T30" s="5" t="inlineStr"/>
      <c r="U30" s="5" t="inlineStr"/>
      <c r="V30" s="7" t="inlineStr"/>
      <c r="W30" s="7" t="inlineStr"/>
      <c r="X30" s="7" t="inlineStr"/>
      <c r="Y30" s="5" t="inlineStr"/>
      <c r="Z30" s="7" t="inlineStr">
        <is>
          <t>https://powo.science.kew.org/taxon/urn%3Alsid%3Aipni.org%3Anames%3A88967-1</t>
        </is>
      </c>
    </row>
    <row r="31" ht="26.25" customHeight="1">
      <c r="A31" s="4" t="inlineStr"/>
      <c r="B31" s="4" t="inlineStr">
        <is>
          <t>Spathiphyllum globulispadix</t>
        </is>
      </c>
      <c r="C31" s="4" t="inlineStr"/>
      <c r="D31" s="4" t="inlineStr"/>
      <c r="E31" s="4" t="inlineStr"/>
      <c r="F31" s="4" t="inlineStr"/>
      <c r="G31" s="4" t="inlineStr">
        <is>
          <t>Brazil (Amazonas)</t>
        </is>
      </c>
      <c r="H31" s="4" t="inlineStr"/>
      <c r="I31" s="4">
        <f>left(RIGHT(J31,5),4)</f>
        <v/>
      </c>
      <c r="J31" s="4" t="inlineStr">
        <is>
          <t>Aroideana 42(1): 35 (2019)</t>
        </is>
      </c>
      <c r="K31" s="4" t="inlineStr"/>
      <c r="L31" s="5" t="inlineStr"/>
      <c r="M31" s="5" t="inlineStr"/>
      <c r="N31" s="5" t="inlineStr"/>
      <c r="O31" s="5" t="inlineStr"/>
      <c r="P31" s="5" t="inlineStr"/>
      <c r="Q31" s="6" t="inlineStr"/>
      <c r="R31" s="5" t="inlineStr"/>
      <c r="S31" s="5" t="inlineStr"/>
      <c r="T31" s="5" t="inlineStr"/>
      <c r="U31" s="5" t="inlineStr"/>
      <c r="V31" s="7" t="inlineStr"/>
      <c r="W31" s="7" t="inlineStr"/>
      <c r="X31" s="7" t="inlineStr"/>
      <c r="Y31" s="5" t="inlineStr"/>
      <c r="Z31" s="7" t="inlineStr">
        <is>
          <t>https://powo.science.kew.org/taxon/urn%3Alsid%3Aipni.org%3Anames%3A77201382-1</t>
        </is>
      </c>
    </row>
    <row r="32" ht="26.25" customHeight="1">
      <c r="A32" s="4" t="inlineStr"/>
      <c r="B32" s="4" t="inlineStr">
        <is>
          <t>Spathiphyllum gracile</t>
        </is>
      </c>
      <c r="C32" s="4" t="inlineStr"/>
      <c r="D32" s="4" t="inlineStr"/>
      <c r="E32" s="4" t="inlineStr"/>
      <c r="F32" s="4" t="inlineStr"/>
      <c r="G32" s="4" t="inlineStr">
        <is>
          <t>Peru</t>
        </is>
      </c>
      <c r="H32" s="4" t="inlineStr"/>
      <c r="I32" s="4">
        <f>left(RIGHT(J32,5),4)</f>
        <v/>
      </c>
      <c r="J32" s="4" t="inlineStr">
        <is>
          <t>Mem. New York Bot. Gard. 10(3): 32 (1960)</t>
        </is>
      </c>
      <c r="K32" s="4" t="inlineStr"/>
      <c r="L32" s="5" t="inlineStr"/>
      <c r="M32" s="5" t="inlineStr"/>
      <c r="N32" s="5" t="inlineStr"/>
      <c r="O32" s="5" t="inlineStr"/>
      <c r="P32" s="5" t="inlineStr"/>
      <c r="Q32" s="6" t="inlineStr"/>
      <c r="R32" s="5" t="inlineStr"/>
      <c r="S32" s="5" t="inlineStr"/>
      <c r="T32" s="5" t="inlineStr"/>
      <c r="U32" s="5" t="inlineStr"/>
      <c r="V32" s="7" t="inlineStr"/>
      <c r="W32" s="7" t="inlineStr"/>
      <c r="X32" s="7" t="inlineStr"/>
      <c r="Y32" s="5" t="inlineStr"/>
      <c r="Z32" s="7" t="inlineStr">
        <is>
          <t>https://powo.science.kew.org/taxon/urn%3Alsid%3Aipni.org%3Anames%3A241197-2</t>
        </is>
      </c>
    </row>
    <row r="33" ht="26.25" customHeight="1">
      <c r="A33" s="4" t="inlineStr"/>
      <c r="B33" s="4" t="inlineStr">
        <is>
          <t>Spathiphyllum grandifolium</t>
        </is>
      </c>
      <c r="C33" s="4" t="inlineStr"/>
      <c r="D33" s="4" t="inlineStr"/>
      <c r="E33" s="4" t="inlineStr"/>
      <c r="F33" s="4" t="inlineStr"/>
      <c r="G33" s="4" t="inlineStr">
        <is>
          <t>Colombia to Ecuador</t>
        </is>
      </c>
      <c r="H33" s="4" t="inlineStr"/>
      <c r="I33" s="4">
        <f>left(RIGHT(J33,5),4)</f>
        <v/>
      </c>
      <c r="J33" s="4" t="inlineStr">
        <is>
          <t>Bot. Jahrb. Syst. 37: 119 (1905)</t>
        </is>
      </c>
      <c r="K33" s="4" t="inlineStr"/>
      <c r="L33" s="5" t="inlineStr"/>
      <c r="M33" s="5" t="inlineStr"/>
      <c r="N33" s="5" t="inlineStr"/>
      <c r="O33" s="5" t="inlineStr"/>
      <c r="P33" s="5" t="inlineStr"/>
      <c r="Q33" s="6" t="inlineStr"/>
      <c r="R33" s="5" t="inlineStr"/>
      <c r="S33" s="5" t="inlineStr"/>
      <c r="T33" s="5" t="inlineStr"/>
      <c r="U33" s="5" t="inlineStr"/>
      <c r="V33" s="7" t="inlineStr"/>
      <c r="W33" s="7" t="inlineStr"/>
      <c r="X33" s="7" t="inlineStr"/>
      <c r="Y33" s="5" t="inlineStr"/>
      <c r="Z33" s="7" t="inlineStr">
        <is>
          <t>https://powo.science.kew.org/taxon/urn%3Alsid%3Aipni.org%3Anames%3A241198-2</t>
        </is>
      </c>
    </row>
    <row r="34" ht="26.25" customHeight="1">
      <c r="A34" s="4" t="inlineStr"/>
      <c r="B34" s="4" t="inlineStr">
        <is>
          <t>Spathiphyllum grazielae</t>
        </is>
      </c>
      <c r="C34" s="4" t="inlineStr"/>
      <c r="D34" s="4" t="inlineStr"/>
      <c r="E34" s="4" t="inlineStr"/>
      <c r="F34" s="4" t="inlineStr"/>
      <c r="G34" s="4" t="inlineStr">
        <is>
          <t>Brazil (São Paulo)</t>
        </is>
      </c>
      <c r="H34" s="4" t="inlineStr"/>
      <c r="I34" s="4">
        <f>left(RIGHT(J34,5),4)</f>
        <v/>
      </c>
      <c r="J34" s="4" t="inlineStr">
        <is>
          <t>Fl. Braz. For.: t. 31 (1968)</t>
        </is>
      </c>
      <c r="K34" s="4" t="inlineStr"/>
      <c r="L34" s="5" t="inlineStr"/>
      <c r="M34" s="5" t="inlineStr"/>
      <c r="N34" s="5" t="inlineStr"/>
      <c r="O34" s="5" t="inlineStr"/>
      <c r="P34" s="5" t="inlineStr"/>
      <c r="Q34" s="6" t="inlineStr"/>
      <c r="R34" s="5" t="inlineStr"/>
      <c r="S34" s="5" t="inlineStr"/>
      <c r="T34" s="5" t="inlineStr"/>
      <c r="U34" s="5" t="inlineStr"/>
      <c r="V34" s="7" t="inlineStr"/>
      <c r="W34" s="7" t="inlineStr"/>
      <c r="X34" s="7" t="inlineStr"/>
      <c r="Y34" s="5" t="inlineStr"/>
      <c r="Z34" s="7" t="inlineStr">
        <is>
          <t>https://powo.science.kew.org/taxon/urn%3Alsid%3Aipni.org%3Anames%3A241199-2</t>
        </is>
      </c>
    </row>
    <row r="35" ht="26.25" customHeight="1">
      <c r="A35" s="4" t="inlineStr"/>
      <c r="B35" s="4" t="inlineStr">
        <is>
          <t>Spathiphyllum guadalupense</t>
        </is>
      </c>
      <c r="C35" s="4" t="inlineStr"/>
      <c r="D35" s="4" t="inlineStr"/>
      <c r="E35" s="4" t="inlineStr"/>
      <c r="F35" s="4" t="inlineStr"/>
      <c r="G35" s="4" t="inlineStr">
        <is>
          <t>Mexico (Tabasco, Chiapas)</t>
        </is>
      </c>
      <c r="H35" s="4" t="inlineStr"/>
      <c r="I35" s="4">
        <f>left(RIGHT(J35,5),4)</f>
        <v/>
      </c>
      <c r="J35" s="4" t="inlineStr">
        <is>
          <t>Aroideana 47(2): 169 (2024)</t>
        </is>
      </c>
      <c r="K35" s="4" t="inlineStr"/>
      <c r="L35" s="5" t="inlineStr"/>
      <c r="M35" s="5" t="inlineStr"/>
      <c r="N35" s="5" t="inlineStr"/>
      <c r="O35" s="5" t="inlineStr"/>
      <c r="P35" s="5" t="inlineStr"/>
      <c r="Q35" s="6" t="inlineStr"/>
      <c r="R35" s="5" t="inlineStr"/>
      <c r="S35" s="5" t="inlineStr"/>
      <c r="T35" s="5" t="inlineStr"/>
      <c r="U35" s="5" t="inlineStr"/>
      <c r="V35" s="7" t="inlineStr"/>
      <c r="W35" s="7" t="inlineStr"/>
      <c r="X35" s="7" t="inlineStr"/>
      <c r="Y35" s="5" t="inlineStr"/>
      <c r="Z35" s="7" t="inlineStr">
        <is>
          <t>https://powo.science.kew.org/taxon/urn%3Alsid%3Aipni.org%3Anames%3A77350347-1</t>
        </is>
      </c>
    </row>
    <row r="36" ht="26.25" customHeight="1">
      <c r="A36" s="4" t="inlineStr"/>
      <c r="B36" s="4" t="inlineStr">
        <is>
          <t>Spathiphyllum hannonii</t>
        </is>
      </c>
      <c r="C36" s="4" t="inlineStr"/>
      <c r="D36" s="4" t="inlineStr"/>
      <c r="E36" s="4" t="inlineStr"/>
      <c r="F36" s="4" t="inlineStr"/>
      <c r="G36" s="4" t="inlineStr">
        <is>
          <t>Honduras</t>
        </is>
      </c>
      <c r="H36" s="4" t="inlineStr"/>
      <c r="I36" s="4">
        <f>left(RIGHT(J36,5),4)</f>
        <v/>
      </c>
      <c r="J36" s="4" t="inlineStr">
        <is>
          <t>Aroideana 47(2): 170 (2024)</t>
        </is>
      </c>
      <c r="K36" s="4" t="inlineStr"/>
      <c r="L36" s="5" t="inlineStr"/>
      <c r="M36" s="5" t="inlineStr"/>
      <c r="N36" s="5" t="inlineStr"/>
      <c r="O36" s="5" t="inlineStr"/>
      <c r="P36" s="5" t="inlineStr"/>
      <c r="Q36" s="6" t="inlineStr"/>
      <c r="R36" s="5" t="inlineStr"/>
      <c r="S36" s="5" t="inlineStr"/>
      <c r="T36" s="5" t="inlineStr"/>
      <c r="U36" s="5" t="inlineStr"/>
      <c r="V36" s="7" t="inlineStr"/>
      <c r="W36" s="7" t="inlineStr"/>
      <c r="X36" s="7" t="inlineStr"/>
      <c r="Y36" s="5" t="inlineStr"/>
      <c r="Z36" s="7" t="inlineStr">
        <is>
          <t>https://powo.science.kew.org/taxon/urn%3Alsid%3Aipni.org%3Anames%3A77350348-1</t>
        </is>
      </c>
    </row>
    <row r="37" ht="26.25" customHeight="1">
      <c r="A37" s="4" t="inlineStr"/>
      <c r="B37" s="4" t="inlineStr">
        <is>
          <t>Spathiphyllum hentrichianum</t>
        </is>
      </c>
      <c r="C37" s="4" t="inlineStr"/>
      <c r="D37" s="4" t="inlineStr"/>
      <c r="E37" s="4" t="inlineStr"/>
      <c r="F37" s="4" t="inlineStr"/>
      <c r="G37" s="4" t="inlineStr">
        <is>
          <t>Mexico (Tabasco)</t>
        </is>
      </c>
      <c r="H37" s="4" t="inlineStr"/>
      <c r="I37" s="4">
        <f>left(RIGHT(J37,5),4)</f>
        <v/>
      </c>
      <c r="J37" s="4" t="inlineStr">
        <is>
          <t>Taxon 73: 439 (2024)</t>
        </is>
      </c>
      <c r="K37" s="4" t="inlineStr"/>
      <c r="L37" s="5" t="inlineStr"/>
      <c r="M37" s="5" t="inlineStr"/>
      <c r="N37" s="5" t="inlineStr"/>
      <c r="O37" s="5" t="inlineStr"/>
      <c r="P37" s="5" t="inlineStr"/>
      <c r="Q37" s="6" t="inlineStr"/>
      <c r="R37" s="5" t="inlineStr"/>
      <c r="S37" s="5" t="inlineStr"/>
      <c r="T37" s="5" t="inlineStr"/>
      <c r="U37" s="5" t="inlineStr"/>
      <c r="V37" s="7" t="inlineStr"/>
      <c r="W37" s="7" t="inlineStr"/>
      <c r="X37" s="7" t="inlineStr"/>
      <c r="Y37" s="5" t="inlineStr"/>
      <c r="Z37" s="7" t="inlineStr">
        <is>
          <t>https://powo.science.kew.org/taxon/urn%3Alsid%3Aipni.org%3Anames%3A77340345-1</t>
        </is>
      </c>
    </row>
    <row r="38" ht="26.25" customHeight="1">
      <c r="A38" s="4" t="inlineStr"/>
      <c r="B38" s="4" t="inlineStr">
        <is>
          <t>Spathiphyllum hubertkrusei</t>
        </is>
      </c>
      <c r="C38" s="4" t="inlineStr"/>
      <c r="D38" s="4" t="inlineStr"/>
      <c r="E38" s="4" t="inlineStr"/>
      <c r="F38" s="4" t="inlineStr"/>
      <c r="G38" s="4" t="inlineStr">
        <is>
          <t>Mexico (Guerrero, Oaxaca)</t>
        </is>
      </c>
      <c r="H38" s="4" t="inlineStr"/>
      <c r="I38" s="4">
        <f>left(RIGHT(J38,5),4)</f>
        <v/>
      </c>
      <c r="J38" s="4" t="inlineStr">
        <is>
          <t>Aroideana 47(2): 186 (2024)</t>
        </is>
      </c>
      <c r="K38" s="4" t="inlineStr"/>
      <c r="L38" s="5" t="inlineStr"/>
      <c r="M38" s="5" t="inlineStr"/>
      <c r="N38" s="5" t="inlineStr"/>
      <c r="O38" s="5" t="inlineStr"/>
      <c r="P38" s="5" t="inlineStr"/>
      <c r="Q38" s="6" t="inlineStr"/>
      <c r="R38" s="5" t="inlineStr"/>
      <c r="S38" s="5" t="inlineStr"/>
      <c r="T38" s="5" t="inlineStr"/>
      <c r="U38" s="5" t="inlineStr"/>
      <c r="V38" s="7" t="inlineStr"/>
      <c r="W38" s="7" t="inlineStr"/>
      <c r="X38" s="7" t="inlineStr"/>
      <c r="Y38" s="5" t="inlineStr"/>
      <c r="Z38" s="7" t="inlineStr">
        <is>
          <t>https://powo.science.kew.org/taxon/urn%3Alsid%3Aipni.org%3Anames%3A77350351-1</t>
        </is>
      </c>
    </row>
    <row r="39" ht="26.25" customHeight="1">
      <c r="A39" s="4" t="inlineStr"/>
      <c r="B39" s="4" t="inlineStr">
        <is>
          <t>Spathiphyllum humboldtii</t>
        </is>
      </c>
      <c r="C39" s="4" t="inlineStr"/>
      <c r="D39" s="4" t="inlineStr">
        <is>
          <t>Spathiphyllum candolleanum Schott; Spathiphyllum glaziovii Engl.; Spathiphyllum huberi Engl.; Spathiphyllum liesneri Croat</t>
        </is>
      </c>
      <c r="E39" s="4" t="inlineStr"/>
      <c r="F39" s="4" t="inlineStr"/>
      <c r="G39" s="4" t="inlineStr">
        <is>
          <t>S. Trop. America</t>
        </is>
      </c>
      <c r="H39" s="4" t="inlineStr"/>
      <c r="I39" s="4">
        <f>left(RIGHT(J39,5),4)</f>
        <v/>
      </c>
      <c r="J39" s="4" t="inlineStr">
        <is>
          <t>Aroideae 1: 2 (1853)</t>
        </is>
      </c>
      <c r="K39" s="4" t="inlineStr"/>
      <c r="L39" s="5" t="inlineStr"/>
      <c r="M39" s="5" t="inlineStr"/>
      <c r="N39" s="5" t="inlineStr"/>
      <c r="O39" s="5" t="inlineStr"/>
      <c r="P39" s="5" t="inlineStr"/>
      <c r="Q39" s="6" t="inlineStr"/>
      <c r="R39" s="5" t="inlineStr"/>
      <c r="S39" s="5" t="inlineStr"/>
      <c r="T39" s="5" t="inlineStr"/>
      <c r="U39" s="5" t="inlineStr"/>
      <c r="V39" s="7" t="inlineStr"/>
      <c r="W39" s="7" t="inlineStr"/>
      <c r="X39" s="7" t="inlineStr"/>
      <c r="Y39" s="5" t="inlineStr"/>
      <c r="Z39" s="7" t="inlineStr">
        <is>
          <t>https://powo.science.kew.org/taxon/urn%3Alsid%3Aipni.org%3Anames%3A88975-1</t>
        </is>
      </c>
    </row>
    <row r="40" ht="26.25" customHeight="1">
      <c r="A40" s="4" t="inlineStr"/>
      <c r="B40" s="4" t="inlineStr">
        <is>
          <t>Spathiphyllum ivanportillae</t>
        </is>
      </c>
      <c r="C40" s="4" t="inlineStr"/>
      <c r="D40" s="4" t="inlineStr"/>
      <c r="E40" s="4" t="inlineStr"/>
      <c r="F40" s="4" t="inlineStr"/>
      <c r="G40" s="4" t="inlineStr">
        <is>
          <t>Ecuador</t>
        </is>
      </c>
      <c r="H40" s="4" t="inlineStr"/>
      <c r="I40" s="4">
        <f>left(RIGHT(J40,5),4)</f>
        <v/>
      </c>
      <c r="J40" s="4" t="inlineStr">
        <is>
          <t>Aroideana 43(3-4): 27 (2020)</t>
        </is>
      </c>
      <c r="K40" s="4" t="inlineStr"/>
      <c r="L40" s="5" t="inlineStr"/>
      <c r="M40" s="5" t="inlineStr"/>
      <c r="N40" s="5" t="inlineStr"/>
      <c r="O40" s="5" t="inlineStr"/>
      <c r="P40" s="5" t="inlineStr"/>
      <c r="Q40" s="6" t="inlineStr"/>
      <c r="R40" s="5" t="inlineStr"/>
      <c r="S40" s="5" t="inlineStr"/>
      <c r="T40" s="5" t="inlineStr"/>
      <c r="U40" s="5" t="inlineStr"/>
      <c r="V40" s="7" t="inlineStr"/>
      <c r="W40" s="7" t="inlineStr"/>
      <c r="X40" s="7" t="inlineStr"/>
      <c r="Y40" s="5" t="inlineStr"/>
      <c r="Z40" s="7" t="inlineStr">
        <is>
          <t>https://powo.science.kew.org/taxon/urn%3Alsid%3Aipni.org%3Anames%3A77214859-1</t>
        </is>
      </c>
    </row>
    <row r="41" ht="26.25" customHeight="1">
      <c r="A41" s="4" t="inlineStr"/>
      <c r="B41" s="4" t="inlineStr">
        <is>
          <t>Spathiphyllum jejunum</t>
        </is>
      </c>
      <c r="C41" s="4" t="inlineStr"/>
      <c r="D41" s="4" t="inlineStr">
        <is>
          <t>Spathiphyllum sipapoanum G.S.Bunting</t>
        </is>
      </c>
      <c r="E41" s="4" t="inlineStr"/>
      <c r="F41" s="4" t="inlineStr"/>
      <c r="G41" s="4" t="inlineStr">
        <is>
          <t>Venezuela (Amazonas)</t>
        </is>
      </c>
      <c r="H41" s="4" t="inlineStr"/>
      <c r="I41" s="4">
        <f>left(RIGHT(J41,5),4)</f>
        <v/>
      </c>
      <c r="J41" s="4" t="inlineStr">
        <is>
          <t>Mem. New York Bot. Gard. 10(3): 23 (1960)</t>
        </is>
      </c>
      <c r="K41" s="4" t="inlineStr"/>
      <c r="L41" s="5" t="inlineStr"/>
      <c r="M41" s="5" t="inlineStr"/>
      <c r="N41" s="5" t="inlineStr"/>
      <c r="O41" s="5" t="inlineStr"/>
      <c r="P41" s="5" t="inlineStr"/>
      <c r="Q41" s="6" t="inlineStr"/>
      <c r="R41" s="5" t="inlineStr"/>
      <c r="S41" s="5" t="inlineStr"/>
      <c r="T41" s="5" t="inlineStr"/>
      <c r="U41" s="5" t="inlineStr"/>
      <c r="V41" s="7" t="inlineStr"/>
      <c r="W41" s="7" t="inlineStr"/>
      <c r="X41" s="7" t="inlineStr"/>
      <c r="Y41" s="5" t="inlineStr"/>
      <c r="Z41" s="7" t="inlineStr">
        <is>
          <t>https://powo.science.kew.org/taxon/urn%3Alsid%3Aipni.org%3Anames%3A241201-2</t>
        </is>
      </c>
    </row>
    <row r="42" ht="26.25" customHeight="1">
      <c r="A42" s="4" t="inlineStr"/>
      <c r="B42" s="4" t="inlineStr">
        <is>
          <t>Spathiphyllum juninense</t>
        </is>
      </c>
      <c r="C42" s="4" t="inlineStr"/>
      <c r="D42" s="4" t="inlineStr"/>
      <c r="E42" s="4" t="inlineStr"/>
      <c r="F42" s="4" t="inlineStr"/>
      <c r="G42" s="4" t="inlineStr">
        <is>
          <t>W. South America</t>
        </is>
      </c>
      <c r="H42" s="4" t="inlineStr"/>
      <c r="I42" s="4">
        <f>left(RIGHT(J42,5),4)</f>
        <v/>
      </c>
      <c r="J42" s="4" t="inlineStr">
        <is>
          <t>Notizbl. Bot. Gart. Berlin-Dahlem 11: 615 (1932)</t>
        </is>
      </c>
      <c r="K42" s="4" t="inlineStr"/>
      <c r="L42" s="5" t="inlineStr"/>
      <c r="M42" s="5" t="inlineStr"/>
      <c r="N42" s="5" t="inlineStr"/>
      <c r="O42" s="5" t="inlineStr"/>
      <c r="P42" s="5" t="inlineStr"/>
      <c r="Q42" s="6" t="inlineStr"/>
      <c r="R42" s="5" t="inlineStr"/>
      <c r="S42" s="5" t="inlineStr"/>
      <c r="T42" s="5" t="inlineStr"/>
      <c r="U42" s="5" t="inlineStr"/>
      <c r="V42" s="7" t="inlineStr"/>
      <c r="W42" s="7" t="inlineStr"/>
      <c r="X42" s="7" t="inlineStr"/>
      <c r="Y42" s="5" t="inlineStr"/>
      <c r="Z42" s="7" t="inlineStr">
        <is>
          <t>https://powo.science.kew.org/taxon/urn%3Alsid%3Aipni.org%3Anames%3A241202-2</t>
        </is>
      </c>
    </row>
    <row r="43" ht="26.25" customHeight="1">
      <c r="A43" s="4" t="inlineStr"/>
      <c r="B43" s="4" t="inlineStr">
        <is>
          <t>Spathiphyllum kalbreyeri</t>
        </is>
      </c>
      <c r="C43" s="4" t="inlineStr"/>
      <c r="D43" s="4" t="inlineStr"/>
      <c r="E43" s="4" t="inlineStr"/>
      <c r="F43" s="4" t="inlineStr"/>
      <c r="G43" s="4" t="inlineStr">
        <is>
          <t>Panama to Colombia</t>
        </is>
      </c>
      <c r="H43" s="4" t="inlineStr"/>
      <c r="I43" s="4">
        <f>left(RIGHT(J43,5),4)</f>
        <v/>
      </c>
      <c r="J43" s="4" t="inlineStr">
        <is>
          <t>Mem. New York Bot. Gard. 10(3): 21 (1960)</t>
        </is>
      </c>
      <c r="K43" s="4" t="inlineStr"/>
      <c r="L43" s="5" t="inlineStr"/>
      <c r="M43" s="5" t="inlineStr"/>
      <c r="N43" s="5" t="inlineStr"/>
      <c r="O43" s="5" t="inlineStr"/>
      <c r="P43" s="5" t="inlineStr"/>
      <c r="Q43" s="6" t="inlineStr"/>
      <c r="R43" s="5" t="inlineStr"/>
      <c r="S43" s="5" t="inlineStr"/>
      <c r="T43" s="5" t="inlineStr"/>
      <c r="U43" s="5" t="inlineStr"/>
      <c r="V43" s="7" t="inlineStr"/>
      <c r="W43" s="7" t="inlineStr"/>
      <c r="X43" s="7" t="inlineStr"/>
      <c r="Y43" s="5" t="inlineStr"/>
      <c r="Z43" s="7" t="inlineStr">
        <is>
          <t>https://powo.science.kew.org/taxon/urn%3Alsid%3Aipni.org%3Anames%3A241203-2</t>
        </is>
      </c>
    </row>
    <row r="44" ht="26.25" customHeight="1">
      <c r="A44" s="4" t="inlineStr"/>
      <c r="B44" s="4" t="inlineStr">
        <is>
          <t>Spathiphyllum kennedyae</t>
        </is>
      </c>
      <c r="C44" s="4" t="inlineStr"/>
      <c r="D44" s="4" t="inlineStr"/>
      <c r="E44" s="4" t="inlineStr"/>
      <c r="F44" s="4" t="inlineStr"/>
      <c r="G44" s="4" t="inlineStr">
        <is>
          <t>Panama</t>
        </is>
      </c>
      <c r="H44" s="4" t="inlineStr"/>
      <c r="I44" s="4">
        <f>left(RIGHT(J44,5),4)</f>
        <v/>
      </c>
      <c r="J44" s="4" t="inlineStr">
        <is>
          <t>Aroideana 47(2): 203 (2024)</t>
        </is>
      </c>
      <c r="K44" s="4" t="inlineStr"/>
      <c r="L44" s="5" t="inlineStr"/>
      <c r="M44" s="5" t="inlineStr"/>
      <c r="N44" s="5" t="inlineStr"/>
      <c r="O44" s="5" t="inlineStr"/>
      <c r="P44" s="5" t="inlineStr"/>
      <c r="Q44" s="6" t="inlineStr"/>
      <c r="R44" s="5" t="inlineStr"/>
      <c r="S44" s="5" t="inlineStr"/>
      <c r="T44" s="5" t="inlineStr"/>
      <c r="U44" s="5" t="inlineStr"/>
      <c r="V44" s="7" t="inlineStr"/>
      <c r="W44" s="7" t="inlineStr"/>
      <c r="X44" s="7" t="inlineStr"/>
      <c r="Y44" s="5" t="inlineStr"/>
      <c r="Z44" s="7" t="inlineStr">
        <is>
          <t>https://powo.science.kew.org/taxon/urn%3Alsid%3Aipni.org%3Anames%3A77350355-1</t>
        </is>
      </c>
    </row>
    <row r="45" ht="26.25" customHeight="1">
      <c r="A45" s="4" t="inlineStr"/>
      <c r="B45" s="4" t="inlineStr">
        <is>
          <t>Spathiphyllum laeve</t>
        </is>
      </c>
      <c r="C45" s="4" t="inlineStr"/>
      <c r="D45" s="4" t="inlineStr"/>
      <c r="E45" s="4" t="inlineStr"/>
      <c r="F45" s="4" t="inlineStr"/>
      <c r="G45" s="4" t="inlineStr">
        <is>
          <t>C. American Pacific Is. (Cocos I.), Nicaragua to NW. Colombia</t>
        </is>
      </c>
      <c r="H45" s="4" t="inlineStr"/>
      <c r="I45" s="4">
        <f>left(RIGHT(J45,5),4)</f>
        <v/>
      </c>
      <c r="J45" s="4" t="inlineStr">
        <is>
          <t>Bot. Jahrb. Syst. 37: 120 (1905)</t>
        </is>
      </c>
      <c r="K45" s="4" t="inlineStr"/>
      <c r="L45" s="5" t="inlineStr"/>
      <c r="M45" s="5" t="inlineStr"/>
      <c r="N45" s="5" t="inlineStr"/>
      <c r="O45" s="5" t="inlineStr"/>
      <c r="P45" s="5" t="inlineStr"/>
      <c r="Q45" s="6" t="inlineStr"/>
      <c r="R45" s="5" t="inlineStr"/>
      <c r="S45" s="5" t="inlineStr"/>
      <c r="T45" s="5" t="inlineStr"/>
      <c r="U45" s="5" t="inlineStr"/>
      <c r="V45" s="7" t="inlineStr"/>
      <c r="W45" s="7" t="inlineStr"/>
      <c r="X45" s="7" t="inlineStr"/>
      <c r="Y45" s="5" t="inlineStr"/>
      <c r="Z45" s="7" t="inlineStr">
        <is>
          <t>https://powo.science.kew.org/taxon/urn%3Alsid%3Aipni.org%3Anames%3A241206-2</t>
        </is>
      </c>
    </row>
    <row r="46" ht="26.25" customHeight="1">
      <c r="A46" s="4" t="inlineStr"/>
      <c r="B46" s="4" t="inlineStr">
        <is>
          <t>Spathiphyllum lanceifolium</t>
        </is>
      </c>
      <c r="C46" s="4" t="inlineStr">
        <is>
          <t>Dracontium lanceifolium Jacq.; Massowia lanceifolia (Jacq.) K.Koch</t>
        </is>
      </c>
      <c r="D46" s="4" t="inlineStr">
        <is>
          <t>Spathiphyllum kochii Engl. &amp; K.Krause</t>
        </is>
      </c>
      <c r="E46" s="4" t="inlineStr"/>
      <c r="F46" s="4" t="inlineStr"/>
      <c r="G46" s="4" t="inlineStr">
        <is>
          <t>Colombia to Venezuela</t>
        </is>
      </c>
      <c r="H46" s="4" t="inlineStr"/>
      <c r="I46" s="4">
        <f>left(RIGHT(J46,5),4)</f>
        <v/>
      </c>
      <c r="J46" s="4" t="inlineStr">
        <is>
          <t>H.W.Schott &amp; S.L.Endlicher, Melet. Bot.: 22 (1832)</t>
        </is>
      </c>
      <c r="K46" s="4" t="inlineStr"/>
      <c r="L46" s="5" t="inlineStr"/>
      <c r="M46" s="5" t="inlineStr"/>
      <c r="N46" s="5" t="inlineStr"/>
      <c r="O46" s="5" t="inlineStr"/>
      <c r="P46" s="5" t="inlineStr"/>
      <c r="Q46" s="6" t="inlineStr"/>
      <c r="R46" s="5" t="inlineStr"/>
      <c r="S46" s="5" t="inlineStr"/>
      <c r="T46" s="5" t="inlineStr"/>
      <c r="U46" s="5" t="inlineStr"/>
      <c r="V46" s="7" t="inlineStr"/>
      <c r="W46" s="7" t="inlineStr"/>
      <c r="X46" s="7" t="inlineStr"/>
      <c r="Y46" s="5" t="inlineStr"/>
      <c r="Z46" s="7" t="inlineStr">
        <is>
          <t>https://powo.science.kew.org/taxon/urn%3Alsid%3Aipni.org%3Anames%3A88983-1</t>
        </is>
      </c>
    </row>
    <row r="47" ht="26.25" customHeight="1">
      <c r="A47" s="4" t="inlineStr"/>
      <c r="B47" s="4" t="inlineStr">
        <is>
          <t>Spathiphyllum lechlerianum</t>
        </is>
      </c>
      <c r="C47" s="4" t="inlineStr">
        <is>
          <t>Massowia lechleriana (Schott) K.Koch ex Ender</t>
        </is>
      </c>
      <c r="D47" s="4" t="inlineStr"/>
      <c r="E47" s="4" t="inlineStr"/>
      <c r="F47" s="4" t="inlineStr"/>
      <c r="G47" s="4" t="inlineStr">
        <is>
          <t>Colombia, Peru</t>
        </is>
      </c>
      <c r="H47" s="4" t="inlineStr"/>
      <c r="I47" s="4">
        <f>left(RIGHT(J47,5),4)</f>
        <v/>
      </c>
      <c r="J47" s="4" t="inlineStr">
        <is>
          <t>Prodr. Syst. Aroid.: 425 (1860)</t>
        </is>
      </c>
      <c r="K47" s="4" t="inlineStr"/>
      <c r="L47" s="5" t="inlineStr"/>
      <c r="M47" s="5" t="inlineStr"/>
      <c r="N47" s="5" t="inlineStr"/>
      <c r="O47" s="5" t="inlineStr"/>
      <c r="P47" s="5" t="inlineStr"/>
      <c r="Q47" s="6" t="inlineStr"/>
      <c r="R47" s="5" t="inlineStr"/>
      <c r="S47" s="5" t="inlineStr"/>
      <c r="T47" s="5" t="inlineStr"/>
      <c r="U47" s="5" t="inlineStr"/>
      <c r="V47" s="7" t="inlineStr"/>
      <c r="W47" s="7" t="inlineStr"/>
      <c r="X47" s="7" t="inlineStr"/>
      <c r="Y47" s="5" t="inlineStr"/>
      <c r="Z47" s="7" t="inlineStr">
        <is>
          <t>https://powo.science.kew.org/taxon/urn%3Alsid%3Aipni.org%3Anames%3A88985-1</t>
        </is>
      </c>
    </row>
    <row r="48" ht="26.25" customHeight="1">
      <c r="A48" s="4" t="inlineStr"/>
      <c r="B48" s="4" t="inlineStr">
        <is>
          <t>Spathiphyllum luteynii</t>
        </is>
      </c>
      <c r="C48" s="4" t="inlineStr"/>
      <c r="D48" s="4" t="inlineStr"/>
      <c r="E48" s="4" t="inlineStr"/>
      <c r="F48" s="4" t="inlineStr"/>
      <c r="G48" s="4" t="inlineStr">
        <is>
          <t>Panama</t>
        </is>
      </c>
      <c r="H48" s="4" t="inlineStr"/>
      <c r="I48" s="4">
        <f>left(RIGHT(J48,5),4)</f>
        <v/>
      </c>
      <c r="J48" s="4" t="inlineStr">
        <is>
          <t>Aroideana 47(2): 219 (2024)</t>
        </is>
      </c>
      <c r="K48" s="4" t="inlineStr"/>
      <c r="L48" s="5" t="inlineStr"/>
      <c r="M48" s="5" t="inlineStr"/>
      <c r="N48" s="5" t="inlineStr"/>
      <c r="O48" s="5" t="inlineStr"/>
      <c r="P48" s="5" t="inlineStr"/>
      <c r="Q48" s="6" t="inlineStr"/>
      <c r="R48" s="5" t="inlineStr"/>
      <c r="S48" s="5" t="inlineStr"/>
      <c r="T48" s="5" t="inlineStr"/>
      <c r="U48" s="5" t="inlineStr"/>
      <c r="V48" s="7" t="inlineStr"/>
      <c r="W48" s="7" t="inlineStr"/>
      <c r="X48" s="7" t="inlineStr"/>
      <c r="Y48" s="5" t="inlineStr"/>
      <c r="Z48" s="7" t="inlineStr">
        <is>
          <t>https://powo.science.kew.org/taxon/urn%3Alsid%3Aipni.org%3Anames%3A77350361-1</t>
        </is>
      </c>
    </row>
    <row r="49" ht="26.25" customHeight="1">
      <c r="A49" s="4" t="inlineStr"/>
      <c r="B49" s="4" t="inlineStr">
        <is>
          <t>Spathiphyllum maguirei</t>
        </is>
      </c>
      <c r="C49" s="4" t="inlineStr"/>
      <c r="D49" s="4" t="inlineStr"/>
      <c r="E49" s="4" t="inlineStr"/>
      <c r="F49" s="4" t="inlineStr"/>
      <c r="G49" s="4" t="inlineStr">
        <is>
          <t>Guyana</t>
        </is>
      </c>
      <c r="H49" s="4" t="inlineStr"/>
      <c r="I49" s="4">
        <f>left(RIGHT(J49,5),4)</f>
        <v/>
      </c>
      <c r="J49" s="4" t="inlineStr">
        <is>
          <t>Mem. New York Bot. Gard. 10(3): 23 (1960)</t>
        </is>
      </c>
      <c r="K49" s="4" t="inlineStr"/>
      <c r="L49" s="5" t="inlineStr"/>
      <c r="M49" s="5" t="inlineStr"/>
      <c r="N49" s="5" t="inlineStr"/>
      <c r="O49" s="5" t="inlineStr"/>
      <c r="P49" s="5" t="inlineStr"/>
      <c r="Q49" s="6" t="inlineStr"/>
      <c r="R49" s="5" t="inlineStr"/>
      <c r="S49" s="5" t="inlineStr"/>
      <c r="T49" s="5" t="inlineStr"/>
      <c r="U49" s="5" t="inlineStr"/>
      <c r="V49" s="7" t="inlineStr"/>
      <c r="W49" s="7" t="inlineStr"/>
      <c r="X49" s="7" t="inlineStr"/>
      <c r="Y49" s="5" t="inlineStr"/>
      <c r="Z49" s="7" t="inlineStr">
        <is>
          <t>https://powo.science.kew.org/taxon/urn%3Alsid%3Aipni.org%3Anames%3A241207-2</t>
        </is>
      </c>
    </row>
    <row r="50" ht="26.25" customHeight="1">
      <c r="A50" s="4" t="inlineStr"/>
      <c r="B50" s="4" t="inlineStr">
        <is>
          <t>Spathiphyllum maldonadoanum</t>
        </is>
      </c>
      <c r="C50" s="4" t="inlineStr"/>
      <c r="D50" s="4" t="inlineStr"/>
      <c r="E50" s="4" t="inlineStr"/>
      <c r="F50" s="4" t="inlineStr"/>
      <c r="G50" s="4" t="inlineStr">
        <is>
          <t>Mexico (Tabasco)</t>
        </is>
      </c>
      <c r="H50" s="4" t="inlineStr"/>
      <c r="I50" s="4">
        <f>left(RIGHT(J50,5),4)</f>
        <v/>
      </c>
      <c r="J50" s="4" t="inlineStr">
        <is>
          <t>Phytotaxa 566: 123 (2022)</t>
        </is>
      </c>
      <c r="K50" s="4" t="inlineStr"/>
      <c r="L50" s="5" t="inlineStr"/>
      <c r="M50" s="5" t="inlineStr"/>
      <c r="N50" s="5" t="inlineStr"/>
      <c r="O50" s="5" t="inlineStr"/>
      <c r="P50" s="5" t="inlineStr"/>
      <c r="Q50" s="6" t="inlineStr"/>
      <c r="R50" s="5" t="inlineStr"/>
      <c r="S50" s="5" t="inlineStr"/>
      <c r="T50" s="5" t="inlineStr"/>
      <c r="U50" s="5" t="inlineStr"/>
      <c r="V50" s="7" t="inlineStr"/>
      <c r="W50" s="7" t="inlineStr"/>
      <c r="X50" s="7" t="inlineStr"/>
      <c r="Y50" s="5" t="inlineStr"/>
      <c r="Z50" s="7" t="inlineStr">
        <is>
          <t>https://powo.science.kew.org/taxon/urn%3Alsid%3Aipni.org%3Anames%3A77305905-1</t>
        </is>
      </c>
    </row>
    <row r="51" ht="26.25" customHeight="1">
      <c r="A51" s="4" t="inlineStr"/>
      <c r="B51" s="4" t="inlineStr">
        <is>
          <t>Spathiphyllum matudae</t>
        </is>
      </c>
      <c r="C51" s="4" t="inlineStr"/>
      <c r="D51" s="4" t="inlineStr"/>
      <c r="E51" s="4" t="inlineStr"/>
      <c r="F51" s="4" t="inlineStr"/>
      <c r="G51" s="4" t="inlineStr">
        <is>
          <t>S. Mexico to Honduras</t>
        </is>
      </c>
      <c r="H51" s="4" t="inlineStr"/>
      <c r="I51" s="4">
        <f>left(RIGHT(J51,5),4)</f>
        <v/>
      </c>
      <c r="J51" s="4" t="inlineStr">
        <is>
          <t>Mem. New York Bot. Gard. 10(3): 38 (1960)</t>
        </is>
      </c>
      <c r="K51" s="4" t="inlineStr"/>
      <c r="L51" s="5" t="inlineStr"/>
      <c r="M51" s="5" t="inlineStr"/>
      <c r="N51" s="5" t="inlineStr"/>
      <c r="O51" s="5" t="inlineStr"/>
      <c r="P51" s="5" t="inlineStr"/>
      <c r="Q51" s="6" t="inlineStr"/>
      <c r="R51" s="5" t="inlineStr"/>
      <c r="S51" s="5" t="inlineStr"/>
      <c r="T51" s="5" t="inlineStr"/>
      <c r="U51" s="5" t="inlineStr"/>
      <c r="V51" s="7" t="inlineStr"/>
      <c r="W51" s="7" t="inlineStr"/>
      <c r="X51" s="7" t="inlineStr"/>
      <c r="Y51" s="5" t="inlineStr"/>
      <c r="Z51" s="7" t="inlineStr">
        <is>
          <t>https://powo.science.kew.org/taxon/urn%3Alsid%3Aipni.org%3Anames%3A241208-2</t>
        </is>
      </c>
    </row>
    <row r="52" ht="26.25" customHeight="1">
      <c r="A52" s="4" t="inlineStr"/>
      <c r="B52" s="4" t="inlineStr">
        <is>
          <t>Spathiphyllum mawarinumae</t>
        </is>
      </c>
      <c r="C52" s="4" t="inlineStr"/>
      <c r="D52" s="4" t="inlineStr"/>
      <c r="E52" s="4" t="inlineStr"/>
      <c r="F52" s="4" t="inlineStr"/>
      <c r="G52" s="4" t="inlineStr">
        <is>
          <t>Venezuela (Amazonas)</t>
        </is>
      </c>
      <c r="H52" s="4" t="inlineStr"/>
      <c r="I52" s="4">
        <f>left(RIGHT(J52,5),4)</f>
        <v/>
      </c>
      <c r="J52" s="4" t="inlineStr">
        <is>
          <t>Phytologia 64: 480 (1988)</t>
        </is>
      </c>
      <c r="K52" s="4" t="inlineStr"/>
      <c r="L52" s="5" t="inlineStr"/>
      <c r="M52" s="5" t="inlineStr"/>
      <c r="N52" s="5" t="inlineStr"/>
      <c r="O52" s="5" t="inlineStr"/>
      <c r="P52" s="5" t="inlineStr"/>
      <c r="Q52" s="6" t="inlineStr"/>
      <c r="R52" s="5" t="inlineStr"/>
      <c r="S52" s="5" t="inlineStr"/>
      <c r="T52" s="5" t="inlineStr"/>
      <c r="U52" s="5" t="inlineStr"/>
      <c r="V52" s="7" t="inlineStr"/>
      <c r="W52" s="7" t="inlineStr"/>
      <c r="X52" s="7" t="inlineStr"/>
      <c r="Y52" s="5" t="inlineStr"/>
      <c r="Z52" s="7" t="inlineStr">
        <is>
          <t>https://powo.science.kew.org/taxon/urn%3Alsid%3Aipni.org%3Anames%3A285403-2</t>
        </is>
      </c>
    </row>
    <row r="53" ht="26.25" customHeight="1">
      <c r="A53" s="4" t="inlineStr"/>
      <c r="B53" s="4" t="inlineStr">
        <is>
          <t>Spathiphyllum minus</t>
        </is>
      </c>
      <c r="C53" s="4" t="inlineStr"/>
      <c r="D53" s="4" t="inlineStr"/>
      <c r="E53" s="4" t="inlineStr"/>
      <c r="F53" s="4" t="inlineStr"/>
      <c r="G53" s="4" t="inlineStr">
        <is>
          <t>E. Colombia to Peru</t>
        </is>
      </c>
      <c r="H53" s="4" t="inlineStr"/>
      <c r="I53" s="4">
        <f>left(RIGHT(J53,5),4)</f>
        <v/>
      </c>
      <c r="J53" s="4" t="inlineStr">
        <is>
          <t>Mem. New York Bot. Gard. 10(3): 31 (1960)</t>
        </is>
      </c>
      <c r="K53" s="4" t="inlineStr"/>
      <c r="L53" s="5" t="inlineStr"/>
      <c r="M53" s="5" t="inlineStr"/>
      <c r="N53" s="5" t="inlineStr"/>
      <c r="O53" s="5" t="inlineStr"/>
      <c r="P53" s="5" t="inlineStr"/>
      <c r="Q53" s="6" t="inlineStr"/>
      <c r="R53" s="5" t="inlineStr"/>
      <c r="S53" s="5" t="inlineStr"/>
      <c r="T53" s="5" t="inlineStr"/>
      <c r="U53" s="5" t="inlineStr"/>
      <c r="V53" s="7" t="inlineStr"/>
      <c r="W53" s="7" t="inlineStr"/>
      <c r="X53" s="7" t="inlineStr"/>
      <c r="Y53" s="5" t="inlineStr"/>
      <c r="Z53" s="7" t="inlineStr">
        <is>
          <t>https://powo.science.kew.org/taxon/urn%3Alsid%3Aipni.org%3Anames%3A241209-2</t>
        </is>
      </c>
    </row>
    <row r="54" ht="26.25" customHeight="1">
      <c r="A54" s="4" t="inlineStr"/>
      <c r="B54" s="4" t="inlineStr">
        <is>
          <t>Spathiphyllum mixtecorum</t>
        </is>
      </c>
      <c r="C54" s="4" t="inlineStr"/>
      <c r="D54" s="4" t="inlineStr"/>
      <c r="E54" s="4" t="inlineStr"/>
      <c r="F54" s="4" t="inlineStr"/>
      <c r="G54" s="4" t="inlineStr">
        <is>
          <t>Mexico (Oaxaca)</t>
        </is>
      </c>
      <c r="H54" s="4" t="inlineStr"/>
      <c r="I54" s="4">
        <f>left(RIGHT(J54,5),4)</f>
        <v/>
      </c>
      <c r="J54" s="4" t="inlineStr">
        <is>
          <t>Nordic J. Bot. 2023(8)-e03926: 3 (2023)</t>
        </is>
      </c>
      <c r="K54" s="4" t="inlineStr"/>
      <c r="L54" s="5" t="inlineStr"/>
      <c r="M54" s="5" t="inlineStr"/>
      <c r="N54" s="5" t="inlineStr"/>
      <c r="O54" s="5" t="inlineStr"/>
      <c r="P54" s="5" t="inlineStr"/>
      <c r="Q54" s="6" t="inlineStr"/>
      <c r="R54" s="5" t="inlineStr"/>
      <c r="S54" s="5" t="inlineStr"/>
      <c r="T54" s="5" t="inlineStr"/>
      <c r="U54" s="5" t="inlineStr"/>
      <c r="V54" s="7" t="inlineStr"/>
      <c r="W54" s="7" t="inlineStr"/>
      <c r="X54" s="7" t="inlineStr"/>
      <c r="Y54" s="5" t="inlineStr"/>
      <c r="Z54" s="7" t="inlineStr">
        <is>
          <t>https://powo.science.kew.org/taxon/urn%3Alsid%3Aipni.org%3Anames%3A77327173-1</t>
        </is>
      </c>
    </row>
    <row r="55" ht="26.25" customHeight="1">
      <c r="A55" s="4" t="inlineStr"/>
      <c r="B55" s="4" t="inlineStr">
        <is>
          <t>Spathiphyllum monachinoi</t>
        </is>
      </c>
      <c r="C55" s="4" t="inlineStr"/>
      <c r="D55" s="4" t="inlineStr"/>
      <c r="E55" s="4" t="inlineStr"/>
      <c r="F55" s="4" t="inlineStr"/>
      <c r="G55" s="4" t="inlineStr">
        <is>
          <t>S. Venezuela</t>
        </is>
      </c>
      <c r="H55" s="4" t="inlineStr"/>
      <c r="I55" s="4">
        <f>left(RIGHT(J55,5),4)</f>
        <v/>
      </c>
      <c r="J55" s="4" t="inlineStr">
        <is>
          <t>Mem. New York Bot. Gard. 10(3): 19 (1960)</t>
        </is>
      </c>
      <c r="K55" s="4" t="inlineStr"/>
      <c r="L55" s="5" t="inlineStr"/>
      <c r="M55" s="5" t="inlineStr"/>
      <c r="N55" s="5" t="inlineStr"/>
      <c r="O55" s="5" t="inlineStr"/>
      <c r="P55" s="5" t="inlineStr"/>
      <c r="Q55" s="6" t="inlineStr"/>
      <c r="R55" s="5" t="inlineStr"/>
      <c r="S55" s="5" t="inlineStr"/>
      <c r="T55" s="5" t="inlineStr"/>
      <c r="U55" s="5" t="inlineStr"/>
      <c r="V55" s="7" t="inlineStr"/>
      <c r="W55" s="7" t="inlineStr"/>
      <c r="X55" s="7" t="inlineStr"/>
      <c r="Y55" s="5" t="inlineStr"/>
      <c r="Z55" s="7" t="inlineStr">
        <is>
          <t>https://powo.science.kew.org/taxon/urn%3Alsid%3Aipni.org%3Anames%3A241210-2</t>
        </is>
      </c>
    </row>
    <row r="56" ht="26.25" customHeight="1">
      <c r="A56" s="4" t="inlineStr"/>
      <c r="B56" s="4" t="inlineStr">
        <is>
          <t>Spathiphyllum montanum</t>
        </is>
      </c>
      <c r="C56" s="4" t="inlineStr">
        <is>
          <t>Spathiphyllum wendlandii subsp. montanum R.A.Baker</t>
        </is>
      </c>
      <c r="D56" s="4" t="inlineStr"/>
      <c r="E56" s="4" t="inlineStr"/>
      <c r="F56" s="4" t="inlineStr"/>
      <c r="G56" s="4" t="inlineStr">
        <is>
          <t>Costa Rica to W. Panama</t>
        </is>
      </c>
      <c r="H56" s="4" t="inlineStr"/>
      <c r="I56" s="4">
        <f>left(RIGHT(J56,5),4)</f>
        <v/>
      </c>
      <c r="J56" s="4" t="inlineStr">
        <is>
          <t>Phytologia 82: 50 (1997)</t>
        </is>
      </c>
      <c r="K56" s="4" t="inlineStr"/>
      <c r="L56" s="5" t="inlineStr"/>
      <c r="M56" s="5" t="inlineStr"/>
      <c r="N56" s="5" t="inlineStr"/>
      <c r="O56" s="5" t="inlineStr"/>
      <c r="P56" s="5" t="inlineStr"/>
      <c r="Q56" s="6" t="inlineStr"/>
      <c r="R56" s="5" t="inlineStr"/>
      <c r="S56" s="5" t="inlineStr"/>
      <c r="T56" s="5" t="inlineStr"/>
      <c r="U56" s="5" t="inlineStr"/>
      <c r="V56" s="7" t="inlineStr"/>
      <c r="W56" s="7" t="inlineStr"/>
      <c r="X56" s="7" t="inlineStr"/>
      <c r="Y56" s="5" t="inlineStr"/>
      <c r="Z56" s="7" t="inlineStr">
        <is>
          <t>https://powo.science.kew.org/taxon/urn%3Alsid%3Aipni.org%3Anames%3A1001011-1</t>
        </is>
      </c>
    </row>
    <row r="57" ht="26.25" customHeight="1">
      <c r="A57" s="4" t="inlineStr"/>
      <c r="B57" s="4" t="inlineStr">
        <is>
          <t>Spathiphyllum morii</t>
        </is>
      </c>
      <c r="C57" s="4" t="inlineStr"/>
      <c r="D57" s="4" t="inlineStr"/>
      <c r="E57" s="4" t="inlineStr"/>
      <c r="F57" s="4" t="inlineStr"/>
      <c r="G57" s="4" t="inlineStr">
        <is>
          <t>Panama</t>
        </is>
      </c>
      <c r="H57" s="4" t="inlineStr"/>
      <c r="I57" s="4">
        <f>left(RIGHT(J57,5),4)</f>
        <v/>
      </c>
      <c r="J57" s="4" t="inlineStr">
        <is>
          <t>Aroideana 47(2): 254 (2024)</t>
        </is>
      </c>
      <c r="K57" s="4" t="inlineStr"/>
      <c r="L57" s="5" t="inlineStr"/>
      <c r="M57" s="5" t="inlineStr"/>
      <c r="N57" s="5" t="inlineStr"/>
      <c r="O57" s="5" t="inlineStr"/>
      <c r="P57" s="5" t="inlineStr"/>
      <c r="Q57" s="6" t="inlineStr"/>
      <c r="R57" s="5" t="inlineStr"/>
      <c r="S57" s="5" t="inlineStr"/>
      <c r="T57" s="5" t="inlineStr"/>
      <c r="U57" s="5" t="inlineStr"/>
      <c r="V57" s="7" t="inlineStr"/>
      <c r="W57" s="7" t="inlineStr"/>
      <c r="X57" s="7" t="inlineStr"/>
      <c r="Y57" s="5" t="inlineStr"/>
      <c r="Z57" s="7" t="inlineStr">
        <is>
          <t>https://powo.science.kew.org/taxon/urn%3Alsid%3Aipni.org%3Anames%3A77350366-1</t>
        </is>
      </c>
    </row>
    <row r="58" ht="26.25" customHeight="1">
      <c r="A58" s="4" t="inlineStr"/>
      <c r="B58" s="4" t="inlineStr">
        <is>
          <t>Spathiphyllum munniae</t>
        </is>
      </c>
      <c r="C58" s="4" t="inlineStr"/>
      <c r="D58" s="4" t="inlineStr"/>
      <c r="E58" s="4" t="inlineStr"/>
      <c r="F58" s="4" t="inlineStr"/>
      <c r="G58" s="4" t="inlineStr">
        <is>
          <t>Mexico (Oaxaca)</t>
        </is>
      </c>
      <c r="H58" s="4" t="inlineStr"/>
      <c r="I58" s="4">
        <f>left(RIGHT(J58,5),4)</f>
        <v/>
      </c>
      <c r="J58" s="4" t="inlineStr">
        <is>
          <t>Aroideana 47(2): 261 (2024)</t>
        </is>
      </c>
      <c r="K58" s="4" t="inlineStr"/>
      <c r="L58" s="5" t="inlineStr"/>
      <c r="M58" s="5" t="inlineStr"/>
      <c r="N58" s="5" t="inlineStr"/>
      <c r="O58" s="5" t="inlineStr"/>
      <c r="P58" s="5" t="inlineStr"/>
      <c r="Q58" s="6" t="inlineStr"/>
      <c r="R58" s="5" t="inlineStr"/>
      <c r="S58" s="5" t="inlineStr"/>
      <c r="T58" s="5" t="inlineStr"/>
      <c r="U58" s="5" t="inlineStr"/>
      <c r="V58" s="7" t="inlineStr"/>
      <c r="W58" s="7" t="inlineStr"/>
      <c r="X58" s="7" t="inlineStr"/>
      <c r="Y58" s="5" t="inlineStr"/>
      <c r="Z58" s="7" t="inlineStr">
        <is>
          <t>https://powo.science.kew.org/taxon/urn%3Alsid%3Aipni.org%3Anames%3A77350369-1</t>
        </is>
      </c>
    </row>
    <row r="59" ht="26.25" customHeight="1">
      <c r="A59" s="4" t="inlineStr"/>
      <c r="B59" s="4" t="inlineStr">
        <is>
          <t>Spathiphyllum neblinae</t>
        </is>
      </c>
      <c r="C59" s="4" t="inlineStr"/>
      <c r="D59" s="4" t="inlineStr"/>
      <c r="E59" s="4" t="inlineStr"/>
      <c r="F59" s="4" t="inlineStr"/>
      <c r="G59" s="4" t="inlineStr">
        <is>
          <t>Venezuela (Amazonas)</t>
        </is>
      </c>
      <c r="H59" s="4" t="inlineStr"/>
      <c r="I59" s="4">
        <f>left(RIGHT(J59,5),4)</f>
        <v/>
      </c>
      <c r="J59" s="4" t="inlineStr">
        <is>
          <t>Mem. New York Bot. Gard. 10(3): 25 (1960)</t>
        </is>
      </c>
      <c r="K59" s="4" t="inlineStr"/>
      <c r="L59" s="5" t="inlineStr"/>
      <c r="M59" s="5" t="inlineStr"/>
      <c r="N59" s="5" t="inlineStr"/>
      <c r="O59" s="5" t="inlineStr"/>
      <c r="P59" s="5" t="inlineStr"/>
      <c r="Q59" s="6" t="inlineStr"/>
      <c r="R59" s="5" t="inlineStr"/>
      <c r="S59" s="5" t="inlineStr"/>
      <c r="T59" s="5" t="inlineStr"/>
      <c r="U59" s="5" t="inlineStr"/>
      <c r="V59" s="7" t="inlineStr"/>
      <c r="W59" s="7" t="inlineStr"/>
      <c r="X59" s="7" t="inlineStr"/>
      <c r="Y59" s="5" t="inlineStr"/>
      <c r="Z59" s="7" t="inlineStr">
        <is>
          <t>https://powo.science.kew.org/taxon/urn%3Alsid%3Aipni.org%3Anames%3A241211-2</t>
        </is>
      </c>
    </row>
    <row r="60" ht="26.25" customHeight="1">
      <c r="A60" s="4" t="inlineStr"/>
      <c r="B60" s="4" t="inlineStr">
        <is>
          <t>Spathiphyllum ortgiesii</t>
        </is>
      </c>
      <c r="C60" s="4" t="inlineStr"/>
      <c r="D60" s="4" t="inlineStr"/>
      <c r="E60" s="4" t="inlineStr"/>
      <c r="F60" s="4" t="inlineStr"/>
      <c r="G60" s="4" t="inlineStr">
        <is>
          <t>Mexico (Veracruz, Chiapas), Honduras</t>
        </is>
      </c>
      <c r="H60" s="4" t="inlineStr"/>
      <c r="I60" s="4">
        <f>left(RIGHT(J60,5),4)</f>
        <v/>
      </c>
      <c r="J60" s="4" t="inlineStr">
        <is>
          <t>Gartenflora 19: 39 (1870)</t>
        </is>
      </c>
      <c r="K60" s="4" t="inlineStr"/>
      <c r="L60" s="5" t="inlineStr"/>
      <c r="M60" s="5" t="inlineStr"/>
      <c r="N60" s="5" t="inlineStr"/>
      <c r="O60" s="5" t="inlineStr"/>
      <c r="P60" s="5" t="inlineStr"/>
      <c r="Q60" s="6" t="inlineStr"/>
      <c r="R60" s="5" t="inlineStr"/>
      <c r="S60" s="5" t="inlineStr"/>
      <c r="T60" s="5" t="inlineStr"/>
      <c r="U60" s="5" t="inlineStr"/>
      <c r="V60" s="7" t="inlineStr"/>
      <c r="W60" s="7" t="inlineStr"/>
      <c r="X60" s="7" t="inlineStr"/>
      <c r="Y60" s="5" t="inlineStr"/>
      <c r="Z60" s="7" t="inlineStr">
        <is>
          <t>https://powo.science.kew.org/taxon/urn%3Alsid%3Aipni.org%3Anames%3A88995-1</t>
        </is>
      </c>
    </row>
    <row r="61" ht="26.25" customHeight="1">
      <c r="A61" s="4" t="inlineStr"/>
      <c r="B61" s="4" t="inlineStr">
        <is>
          <t>Spathiphyllum ortizii</t>
        </is>
      </c>
      <c r="C61" s="4" t="inlineStr"/>
      <c r="D61" s="4" t="inlineStr"/>
      <c r="E61" s="4" t="inlineStr"/>
      <c r="F61" s="4" t="inlineStr"/>
      <c r="G61" s="4" t="inlineStr">
        <is>
          <t>Panama</t>
        </is>
      </c>
      <c r="H61" s="4" t="inlineStr"/>
      <c r="I61" s="4">
        <f>left(RIGHT(J61,5),4)</f>
        <v/>
      </c>
      <c r="J61" s="4" t="inlineStr">
        <is>
          <t>Aroideana 47(2): 272 (2024)</t>
        </is>
      </c>
      <c r="K61" s="4" t="inlineStr"/>
      <c r="L61" s="5" t="inlineStr"/>
      <c r="M61" s="5" t="inlineStr"/>
      <c r="N61" s="5" t="inlineStr"/>
      <c r="O61" s="5" t="inlineStr"/>
      <c r="P61" s="5" t="inlineStr"/>
      <c r="Q61" s="6" t="inlineStr"/>
      <c r="R61" s="5" t="inlineStr"/>
      <c r="S61" s="5" t="inlineStr"/>
      <c r="T61" s="5" t="inlineStr"/>
      <c r="U61" s="5" t="inlineStr"/>
      <c r="V61" s="7" t="inlineStr"/>
      <c r="W61" s="7" t="inlineStr"/>
      <c r="X61" s="7" t="inlineStr"/>
      <c r="Y61" s="5" t="inlineStr"/>
      <c r="Z61" s="7" t="inlineStr">
        <is>
          <t>https://powo.science.kew.org/taxon/urn%3Alsid%3Aipni.org%3Anames%3A77350371-1</t>
        </is>
      </c>
    </row>
    <row r="62" ht="26.25" customHeight="1">
      <c r="A62" s="4" t="inlineStr"/>
      <c r="B62" s="4" t="inlineStr">
        <is>
          <t>Spathiphyllum patinii</t>
        </is>
      </c>
      <c r="C62" s="4" t="inlineStr">
        <is>
          <t>Amomophyllum patinii (R.Hogg) Engl.; Anthurium patinii R.Hogg</t>
        </is>
      </c>
      <c r="D62" s="4" t="inlineStr">
        <is>
          <t>Anthurium candidum W.Bull; Spathiphyllum candidum (W.Bull) N.E.Br.</t>
        </is>
      </c>
      <c r="E62" s="4" t="inlineStr"/>
      <c r="F62" s="4" t="inlineStr"/>
      <c r="G62" s="4" t="inlineStr">
        <is>
          <t>Panama to Colombia</t>
        </is>
      </c>
      <c r="H62" s="4" t="inlineStr"/>
      <c r="I62" s="4">
        <f>left(RIGHT(J62,5),4)</f>
        <v/>
      </c>
      <c r="J62" s="4" t="inlineStr">
        <is>
          <t>Gard. Chron., n.s., 10: 783 (1878)</t>
        </is>
      </c>
      <c r="K62" s="4" t="inlineStr"/>
      <c r="L62" s="5" t="inlineStr"/>
      <c r="M62" s="5" t="inlineStr"/>
      <c r="N62" s="5" t="inlineStr"/>
      <c r="O62" s="5" t="inlineStr"/>
      <c r="P62" s="5" t="inlineStr"/>
      <c r="Q62" s="6" t="inlineStr"/>
      <c r="R62" s="5" t="inlineStr"/>
      <c r="S62" s="5" t="inlineStr"/>
      <c r="T62" s="5" t="inlineStr"/>
      <c r="U62" s="5" t="inlineStr"/>
      <c r="V62" s="7" t="inlineStr"/>
      <c r="W62" s="7" t="inlineStr"/>
      <c r="X62" s="7" t="inlineStr"/>
      <c r="Y62" s="5" t="inlineStr"/>
      <c r="Z62" s="7" t="inlineStr">
        <is>
          <t>https://powo.science.kew.org/taxon/urn%3Alsid%3Aipni.org%3Anames%3A88996-1</t>
        </is>
      </c>
    </row>
    <row r="63" ht="26.25" customHeight="1">
      <c r="A63" s="4" t="inlineStr"/>
      <c r="B63" s="4" t="inlineStr">
        <is>
          <t>Spathiphyllum patulinervum</t>
        </is>
      </c>
      <c r="C63" s="4" t="inlineStr"/>
      <c r="D63" s="4" t="inlineStr"/>
      <c r="E63" s="4" t="inlineStr"/>
      <c r="F63" s="4" t="inlineStr"/>
      <c r="G63" s="4" t="inlineStr">
        <is>
          <t>Ecuador</t>
        </is>
      </c>
      <c r="H63" s="4" t="inlineStr"/>
      <c r="I63" s="4">
        <f>left(RIGHT(J63,5),4)</f>
        <v/>
      </c>
      <c r="J63" s="4" t="inlineStr">
        <is>
          <t>Mem. New York Bot. Gard. 10(3): 32 (1960)</t>
        </is>
      </c>
      <c r="K63" s="4" t="inlineStr"/>
      <c r="L63" s="5" t="inlineStr"/>
      <c r="M63" s="5" t="inlineStr"/>
      <c r="N63" s="5" t="inlineStr"/>
      <c r="O63" s="5" t="inlineStr"/>
      <c r="P63" s="5" t="inlineStr"/>
      <c r="Q63" s="6" t="inlineStr"/>
      <c r="R63" s="5" t="inlineStr"/>
      <c r="S63" s="5" t="inlineStr"/>
      <c r="T63" s="5" t="inlineStr"/>
      <c r="U63" s="5" t="inlineStr"/>
      <c r="V63" s="7" t="inlineStr"/>
      <c r="W63" s="7" t="inlineStr"/>
      <c r="X63" s="7" t="inlineStr"/>
      <c r="Y63" s="5" t="inlineStr"/>
      <c r="Z63" s="7" t="inlineStr">
        <is>
          <t>https://powo.science.kew.org/taxon/urn%3Alsid%3Aipni.org%3Anames%3A241212-2</t>
        </is>
      </c>
    </row>
    <row r="64" ht="26.25" customHeight="1">
      <c r="A64" s="4" t="inlineStr"/>
      <c r="B64" s="4" t="inlineStr">
        <is>
          <t>Spathiphyllum perezii</t>
        </is>
      </c>
      <c r="C64" s="4" t="inlineStr"/>
      <c r="D64" s="4" t="inlineStr"/>
      <c r="E64" s="4" t="inlineStr"/>
      <c r="F64" s="4" t="inlineStr"/>
      <c r="G64" s="4" t="inlineStr">
        <is>
          <t>Colombia to NW. Venezuela</t>
        </is>
      </c>
      <c r="H64" s="4" t="inlineStr"/>
      <c r="I64" s="4">
        <f>left(RIGHT(J64,5),4)</f>
        <v/>
      </c>
      <c r="J64" s="4" t="inlineStr">
        <is>
          <t>Acta Bot. Venez. 10: 321 (1975)</t>
        </is>
      </c>
      <c r="K64" s="4" t="inlineStr"/>
      <c r="L64" s="5" t="inlineStr"/>
      <c r="M64" s="5" t="inlineStr"/>
      <c r="N64" s="5" t="inlineStr"/>
      <c r="O64" s="5" t="inlineStr"/>
      <c r="P64" s="5" t="inlineStr"/>
      <c r="Q64" s="6" t="inlineStr"/>
      <c r="R64" s="5" t="inlineStr"/>
      <c r="S64" s="5" t="inlineStr"/>
      <c r="T64" s="5" t="inlineStr"/>
      <c r="U64" s="5" t="inlineStr"/>
      <c r="V64" s="7" t="inlineStr"/>
      <c r="W64" s="7" t="inlineStr"/>
      <c r="X64" s="7" t="inlineStr"/>
      <c r="Y64" s="5" t="inlineStr"/>
      <c r="Z64" s="7" t="inlineStr">
        <is>
          <t>https://powo.science.kew.org/taxon/urn%3Alsid%3Aipni.org%3Anames%3A241213-2</t>
        </is>
      </c>
    </row>
    <row r="65" ht="26.25" customHeight="1">
      <c r="A65" s="4" t="inlineStr"/>
      <c r="B65" s="4" t="inlineStr">
        <is>
          <t>Spathiphyllum phryniifolium</t>
        </is>
      </c>
      <c r="C65" s="4" t="inlineStr"/>
      <c r="D65" s="4" t="inlineStr"/>
      <c r="E65" s="4" t="inlineStr"/>
      <c r="F65" s="4" t="inlineStr"/>
      <c r="G65" s="4" t="inlineStr">
        <is>
          <t>S. Mexico to Colombia</t>
        </is>
      </c>
      <c r="H65" s="4" t="inlineStr"/>
      <c r="I65" s="4">
        <f>left(RIGHT(J65,5),4)</f>
        <v/>
      </c>
      <c r="J65" s="4" t="inlineStr">
        <is>
          <t>Oesterr. Bot. Wochenbl. 7: 159 (1857)</t>
        </is>
      </c>
      <c r="K65" s="4" t="inlineStr"/>
      <c r="L65" s="5" t="inlineStr"/>
      <c r="M65" s="5" t="inlineStr"/>
      <c r="N65" s="5" t="inlineStr"/>
      <c r="O65" s="5" t="inlineStr"/>
      <c r="P65" s="5" t="inlineStr"/>
      <c r="Q65" s="6" t="inlineStr"/>
      <c r="R65" s="5" t="inlineStr"/>
      <c r="S65" s="5" t="inlineStr"/>
      <c r="T65" s="5" t="inlineStr"/>
      <c r="U65" s="5" t="inlineStr"/>
      <c r="V65" s="7" t="inlineStr"/>
      <c r="W65" s="7" t="inlineStr"/>
      <c r="X65" s="7" t="inlineStr"/>
      <c r="Y65" s="5" t="inlineStr"/>
      <c r="Z65" s="7" t="inlineStr">
        <is>
          <t>https://powo.science.kew.org/taxon/urn%3Alsid%3Aipni.org%3Anames%3A88999-1</t>
        </is>
      </c>
    </row>
    <row r="66" ht="26.25" customHeight="1">
      <c r="A66" s="4" t="inlineStr"/>
      <c r="B66" s="4" t="inlineStr">
        <is>
          <t>Spathiphyllum pygmaeum</t>
        </is>
      </c>
      <c r="C66" s="4" t="inlineStr"/>
      <c r="D66" s="4" t="inlineStr"/>
      <c r="E66" s="4" t="inlineStr"/>
      <c r="F66" s="4" t="inlineStr"/>
      <c r="G66" s="4" t="inlineStr">
        <is>
          <t>Ecuador (Zamora-Chinchipe)</t>
        </is>
      </c>
      <c r="H66" s="4" t="inlineStr"/>
      <c r="I66" s="4">
        <f>left(RIGHT(J66,5),4)</f>
        <v/>
      </c>
      <c r="J66" s="4" t="inlineStr">
        <is>
          <t>Willdenowia 41: 125 (2011)</t>
        </is>
      </c>
      <c r="K66" s="4" t="inlineStr"/>
      <c r="L66" s="5" t="inlineStr"/>
      <c r="M66" s="5" t="inlineStr"/>
      <c r="N66" s="5" t="inlineStr"/>
      <c r="O66" s="5" t="inlineStr"/>
      <c r="P66" s="5" t="inlineStr"/>
      <c r="Q66" s="6" t="inlineStr"/>
      <c r="R66" s="5" t="inlineStr"/>
      <c r="S66" s="5" t="inlineStr"/>
      <c r="T66" s="5" t="inlineStr"/>
      <c r="U66" s="5" t="inlineStr"/>
      <c r="V66" s="7" t="inlineStr"/>
      <c r="W66" s="7" t="inlineStr"/>
      <c r="X66" s="7" t="inlineStr"/>
      <c r="Y66" s="5" t="inlineStr"/>
      <c r="Z66" s="7" t="inlineStr">
        <is>
          <t>https://powo.science.kew.org/taxon/urn%3Alsid%3Aipni.org%3Anames%3A77112801-1</t>
        </is>
      </c>
    </row>
    <row r="67" ht="26.25" customHeight="1">
      <c r="A67" s="4" t="inlineStr"/>
      <c r="B67" s="4" t="inlineStr">
        <is>
          <t>Spathiphyllum quindiuense</t>
        </is>
      </c>
      <c r="C67" s="4" t="inlineStr"/>
      <c r="D67" s="4" t="inlineStr"/>
      <c r="E67" s="4" t="inlineStr"/>
      <c r="F67" s="4" t="inlineStr"/>
      <c r="G67" s="4" t="inlineStr">
        <is>
          <t>Panama to Peru</t>
        </is>
      </c>
      <c r="H67" s="4" t="inlineStr"/>
      <c r="I67" s="4">
        <f>left(RIGHT(J67,5),4)</f>
        <v/>
      </c>
      <c r="J67" s="4" t="inlineStr">
        <is>
          <t>Bot. Jahrb. Syst. 37: 120 (1905)</t>
        </is>
      </c>
      <c r="K67" s="4" t="inlineStr"/>
      <c r="L67" s="5" t="inlineStr"/>
      <c r="M67" s="5" t="inlineStr"/>
      <c r="N67" s="5" t="inlineStr"/>
      <c r="O67" s="5" t="inlineStr"/>
      <c r="P67" s="5" t="inlineStr"/>
      <c r="Q67" s="6" t="inlineStr"/>
      <c r="R67" s="5" t="inlineStr"/>
      <c r="S67" s="5" t="inlineStr"/>
      <c r="T67" s="5" t="inlineStr"/>
      <c r="U67" s="5" t="inlineStr"/>
      <c r="V67" s="7" t="inlineStr"/>
      <c r="W67" s="7" t="inlineStr"/>
      <c r="X67" s="7" t="inlineStr"/>
      <c r="Y67" s="5" t="inlineStr"/>
      <c r="Z67" s="7" t="inlineStr">
        <is>
          <t>https://powo.science.kew.org/taxon/urn%3Alsid%3Aipni.org%3Anames%3A241215-2</t>
        </is>
      </c>
    </row>
    <row r="68" ht="26.25" customHeight="1">
      <c r="A68" s="4" t="inlineStr"/>
      <c r="B68" s="4" t="inlineStr">
        <is>
          <t>Spathiphyllum schlechteri</t>
        </is>
      </c>
      <c r="C68" s="4" t="inlineStr">
        <is>
          <t>Holochlamys schlechteri Engl. &amp; K.Krause</t>
        </is>
      </c>
      <c r="D68" s="4" t="inlineStr"/>
      <c r="E68" s="4" t="inlineStr"/>
      <c r="F68" s="4" t="inlineStr"/>
      <c r="G68" s="4" t="inlineStr">
        <is>
          <t>SE. New Guinea</t>
        </is>
      </c>
      <c r="H68" s="4" t="inlineStr"/>
      <c r="I68" s="4">
        <f>left(RIGHT(J68,5),4)</f>
        <v/>
      </c>
      <c r="J68" s="4" t="inlineStr">
        <is>
          <t>Blumea 16: 120 (1968)</t>
        </is>
      </c>
      <c r="K68" s="4" t="inlineStr"/>
      <c r="L68" s="5" t="inlineStr"/>
      <c r="M68" s="5" t="inlineStr"/>
      <c r="N68" s="5" t="inlineStr"/>
      <c r="O68" s="5" t="inlineStr"/>
      <c r="P68" s="5" t="inlineStr"/>
      <c r="Q68" s="6" t="inlineStr"/>
      <c r="R68" s="5" t="inlineStr"/>
      <c r="S68" s="5" t="inlineStr"/>
      <c r="T68" s="5" t="inlineStr"/>
      <c r="U68" s="5" t="inlineStr"/>
      <c r="V68" s="7" t="inlineStr"/>
      <c r="W68" s="7" t="inlineStr"/>
      <c r="X68" s="7" t="inlineStr"/>
      <c r="Y68" s="5" t="inlineStr"/>
      <c r="Z68" s="7" t="inlineStr">
        <is>
          <t>https://powo.science.kew.org/taxon/urn%3Alsid%3Aipni.org%3Anames%3A89004-1</t>
        </is>
      </c>
    </row>
    <row r="69" ht="26.25" customHeight="1">
      <c r="A69" s="4" t="inlineStr"/>
      <c r="B69" s="4" t="inlineStr">
        <is>
          <t>Spathiphyllum schomburgkii</t>
        </is>
      </c>
      <c r="C69" s="4" t="inlineStr">
        <is>
          <t>Spathiphyllum candolleanum var. schomburgkii (Schott) Engl.</t>
        </is>
      </c>
      <c r="D69" s="4" t="inlineStr"/>
      <c r="E69" s="4" t="inlineStr"/>
      <c r="F69" s="4" t="inlineStr"/>
      <c r="G69" s="4" t="inlineStr">
        <is>
          <t>Colombia to Guyana and N. Brazil</t>
        </is>
      </c>
      <c r="H69" s="4" t="inlineStr"/>
      <c r="I69" s="4">
        <f>left(RIGHT(J69,5),4)</f>
        <v/>
      </c>
      <c r="J69" s="4" t="inlineStr">
        <is>
          <t>Oesterr. Bot. Wochenbl. 7: 158 (1857)</t>
        </is>
      </c>
      <c r="K69" s="4" t="inlineStr"/>
      <c r="L69" s="5" t="inlineStr"/>
      <c r="M69" s="5" t="inlineStr"/>
      <c r="N69" s="5" t="inlineStr"/>
      <c r="O69" s="5" t="inlineStr"/>
      <c r="P69" s="5" t="inlineStr"/>
      <c r="Q69" s="6" t="inlineStr"/>
      <c r="R69" s="5" t="inlineStr"/>
      <c r="S69" s="5" t="inlineStr"/>
      <c r="T69" s="5" t="inlineStr"/>
      <c r="U69" s="5" t="inlineStr"/>
      <c r="V69" s="7" t="inlineStr"/>
      <c r="W69" s="7" t="inlineStr"/>
      <c r="X69" s="7" t="inlineStr"/>
      <c r="Y69" s="5" t="inlineStr"/>
      <c r="Z69" s="7" t="inlineStr">
        <is>
          <t>https://powo.science.kew.org/taxon/urn%3Alsid%3Aipni.org%3Anames%3A89005-1</t>
        </is>
      </c>
    </row>
    <row r="70" ht="26.25" customHeight="1">
      <c r="A70" s="4" t="inlineStr"/>
      <c r="B70" s="4" t="inlineStr">
        <is>
          <t>Spathiphyllum silvicola</t>
        </is>
      </c>
      <c r="C70" s="4" t="inlineStr"/>
      <c r="D70" s="4" t="inlineStr"/>
      <c r="E70" s="4" t="inlineStr"/>
      <c r="F70" s="4" t="inlineStr"/>
      <c r="G70" s="4" t="inlineStr">
        <is>
          <t>Costa Rica to Colombia</t>
        </is>
      </c>
      <c r="H70" s="4" t="inlineStr"/>
      <c r="I70" s="4">
        <f>left(RIGHT(J70,5),4)</f>
        <v/>
      </c>
      <c r="J70" s="4" t="inlineStr">
        <is>
          <t>Phytologia 33: 448 (1976)</t>
        </is>
      </c>
      <c r="K70" s="4" t="inlineStr"/>
      <c r="L70" s="5" t="inlineStr"/>
      <c r="M70" s="5" t="inlineStr"/>
      <c r="N70" s="5" t="inlineStr"/>
      <c r="O70" s="5" t="inlineStr"/>
      <c r="P70" s="5" t="inlineStr"/>
      <c r="Q70" s="6" t="inlineStr"/>
      <c r="R70" s="5" t="inlineStr"/>
      <c r="S70" s="5" t="inlineStr"/>
      <c r="T70" s="5" t="inlineStr"/>
      <c r="U70" s="5" t="inlineStr"/>
      <c r="V70" s="7" t="inlineStr"/>
      <c r="W70" s="7" t="inlineStr"/>
      <c r="X70" s="7" t="inlineStr"/>
      <c r="Y70" s="5" t="inlineStr"/>
      <c r="Z70" s="7" t="inlineStr">
        <is>
          <t>https://powo.science.kew.org/taxon/urn%3Alsid%3Aipni.org%3Anames%3A241217-2</t>
        </is>
      </c>
    </row>
    <row r="71" ht="26.25" customHeight="1">
      <c r="A71" s="4" t="inlineStr"/>
      <c r="B71" s="4" t="inlineStr">
        <is>
          <t>Spathiphyllum solomonense</t>
        </is>
      </c>
      <c r="C71" s="4" t="inlineStr"/>
      <c r="D71" s="4" t="inlineStr"/>
      <c r="E71" s="4" t="inlineStr"/>
      <c r="F71" s="4" t="inlineStr"/>
      <c r="G71" s="4" t="inlineStr">
        <is>
          <t>Solomon Is.</t>
        </is>
      </c>
      <c r="H71" s="4" t="inlineStr"/>
      <c r="I71" s="4">
        <f>left(RIGHT(J71,5),4)</f>
        <v/>
      </c>
      <c r="J71" s="4" t="inlineStr">
        <is>
          <t>Amer. J. Bot. 54: 496 (1967)</t>
        </is>
      </c>
      <c r="K71" s="4" t="inlineStr"/>
      <c r="L71" s="5" t="inlineStr"/>
      <c r="M71" s="5" t="inlineStr"/>
      <c r="N71" s="5" t="inlineStr"/>
      <c r="O71" s="5" t="inlineStr"/>
      <c r="P71" s="5" t="inlineStr"/>
      <c r="Q71" s="6" t="inlineStr"/>
      <c r="R71" s="5" t="inlineStr"/>
      <c r="S71" s="5" t="inlineStr"/>
      <c r="T71" s="5" t="inlineStr"/>
      <c r="U71" s="5" t="inlineStr"/>
      <c r="V71" s="7" t="inlineStr"/>
      <c r="W71" s="7" t="inlineStr"/>
      <c r="X71" s="7" t="inlineStr"/>
      <c r="Y71" s="5" t="inlineStr"/>
      <c r="Z71" s="7" t="inlineStr">
        <is>
          <t>https://powo.science.kew.org/taxon/urn%3Alsid%3Aipni.org%3Anames%3A89008-1</t>
        </is>
      </c>
    </row>
    <row r="72" ht="26.25" customHeight="1">
      <c r="A72" s="4" t="inlineStr"/>
      <c r="B72" s="4" t="inlineStr">
        <is>
          <t>Spathiphyllum tenerum</t>
        </is>
      </c>
      <c r="C72" s="4" t="inlineStr"/>
      <c r="D72" s="4" t="inlineStr"/>
      <c r="E72" s="4" t="inlineStr"/>
      <c r="F72" s="4" t="inlineStr"/>
      <c r="G72" s="4" t="inlineStr">
        <is>
          <t>E. Colombia to N. Peru</t>
        </is>
      </c>
      <c r="H72" s="4" t="inlineStr"/>
      <c r="I72" s="4">
        <f>left(RIGHT(J72,5),4)</f>
        <v/>
      </c>
      <c r="J72" s="4" t="inlineStr">
        <is>
          <t>Bot. Jahrb. Syst. 37: 120 (1905)</t>
        </is>
      </c>
      <c r="K72" s="4" t="inlineStr"/>
      <c r="L72" s="5" t="inlineStr"/>
      <c r="M72" s="5" t="inlineStr"/>
      <c r="N72" s="5" t="inlineStr"/>
      <c r="O72" s="5" t="inlineStr"/>
      <c r="P72" s="5" t="inlineStr"/>
      <c r="Q72" s="6" t="inlineStr"/>
      <c r="R72" s="5" t="inlineStr"/>
      <c r="S72" s="5" t="inlineStr"/>
      <c r="T72" s="5" t="inlineStr"/>
      <c r="U72" s="5" t="inlineStr"/>
      <c r="V72" s="7" t="inlineStr"/>
      <c r="W72" s="7" t="inlineStr"/>
      <c r="X72" s="7" t="inlineStr"/>
      <c r="Y72" s="5" t="inlineStr"/>
      <c r="Z72" s="7" t="inlineStr">
        <is>
          <t>https://powo.science.kew.org/taxon/urn%3Alsid%3Aipni.org%3Anames%3A241219-2</t>
        </is>
      </c>
    </row>
    <row r="73" ht="26.25" customHeight="1">
      <c r="A73" s="4" t="inlineStr"/>
      <c r="B73" s="4" t="inlineStr">
        <is>
          <t>Spathiphyllum uspanapaense</t>
        </is>
      </c>
      <c r="C73" s="4" t="inlineStr"/>
      <c r="D73" s="4" t="inlineStr"/>
      <c r="E73" s="4" t="inlineStr"/>
      <c r="F73" s="4" t="inlineStr"/>
      <c r="G73" s="4" t="inlineStr">
        <is>
          <t>Mexico (Veracruz)</t>
        </is>
      </c>
      <c r="H73" s="4" t="inlineStr"/>
      <c r="I73" s="4">
        <f>left(RIGHT(J73,5),4)</f>
        <v/>
      </c>
      <c r="J73" s="4" t="inlineStr">
        <is>
          <t>Cact. Suc. Mex. 21: 74 (1976)</t>
        </is>
      </c>
      <c r="K73" s="4" t="inlineStr"/>
      <c r="L73" s="5" t="inlineStr"/>
      <c r="M73" s="5" t="inlineStr"/>
      <c r="N73" s="5" t="inlineStr"/>
      <c r="O73" s="5" t="inlineStr"/>
      <c r="P73" s="5" t="inlineStr"/>
      <c r="Q73" s="6" t="inlineStr"/>
      <c r="R73" s="5" t="inlineStr"/>
      <c r="S73" s="5" t="inlineStr"/>
      <c r="T73" s="5" t="inlineStr"/>
      <c r="U73" s="5" t="inlineStr"/>
      <c r="V73" s="7" t="inlineStr"/>
      <c r="W73" s="7" t="inlineStr"/>
      <c r="X73" s="7" t="inlineStr"/>
      <c r="Y73" s="5" t="inlineStr"/>
      <c r="Z73" s="7" t="inlineStr">
        <is>
          <t>https://powo.science.kew.org/taxon/urn%3Alsid%3Aipni.org%3Anames%3A89010-1</t>
        </is>
      </c>
    </row>
    <row r="74" ht="26.25" customHeight="1">
      <c r="A74" s="4" t="inlineStr"/>
      <c r="B74" s="4" t="inlineStr">
        <is>
          <t>Spathiphyllum wallisii</t>
        </is>
      </c>
      <c r="C74" s="4" t="inlineStr"/>
      <c r="D74" s="4" t="inlineStr"/>
      <c r="E74" s="4" t="inlineStr"/>
      <c r="F74" s="4" t="inlineStr"/>
      <c r="G74" s="4" t="inlineStr">
        <is>
          <t>Colombia to Venezuela</t>
        </is>
      </c>
      <c r="H74" s="4" t="inlineStr"/>
      <c r="I74" s="4">
        <f>left(RIGHT(J74,5),4)</f>
        <v/>
      </c>
      <c r="J74" s="4" t="inlineStr">
        <is>
          <t>Gartenflora 26: 323 (1877)</t>
        </is>
      </c>
      <c r="K74" s="4" t="inlineStr"/>
      <c r="L74" s="5" t="inlineStr"/>
      <c r="M74" s="5" t="inlineStr"/>
      <c r="N74" s="5" t="inlineStr"/>
      <c r="O74" s="5" t="inlineStr"/>
      <c r="P74" s="5" t="inlineStr"/>
      <c r="Q74" s="6" t="inlineStr"/>
      <c r="R74" s="5" t="inlineStr"/>
      <c r="S74" s="5" t="inlineStr"/>
      <c r="T74" s="5" t="inlineStr"/>
      <c r="U74" s="5" t="inlineStr"/>
      <c r="V74" s="7" t="inlineStr"/>
      <c r="W74" s="7" t="inlineStr"/>
      <c r="X74" s="7" t="inlineStr"/>
      <c r="Y74" s="5" t="inlineStr"/>
      <c r="Z74" s="7" t="inlineStr">
        <is>
          <t>https://powo.science.kew.org/taxon/urn%3Alsid%3Aipni.org%3Anames%3A89011-1</t>
        </is>
      </c>
    </row>
    <row r="75" ht="26.25" customHeight="1">
      <c r="A75" s="4" t="inlineStr"/>
      <c r="B75" s="4" t="inlineStr">
        <is>
          <t>Spathiphyllum wendlandii</t>
        </is>
      </c>
      <c r="C75" s="4" t="inlineStr"/>
      <c r="D75" s="4" t="inlineStr">
        <is>
          <t>Spathiphyllum macrophyllum Linden ex Rafarin</t>
        </is>
      </c>
      <c r="E75" s="4" t="inlineStr"/>
      <c r="F75" s="4" t="inlineStr"/>
      <c r="G75" s="4" t="inlineStr">
        <is>
          <t>C. America</t>
        </is>
      </c>
      <c r="H75" s="4" t="inlineStr"/>
      <c r="I75" s="4">
        <f>left(RIGHT(J75,5),4)</f>
        <v/>
      </c>
      <c r="J75" s="4" t="inlineStr">
        <is>
          <t>Oesterr. Bot. Z. 8: 179 (1858)</t>
        </is>
      </c>
      <c r="K75" s="4" t="inlineStr"/>
      <c r="L75" s="5" t="inlineStr"/>
      <c r="M75" s="5" t="inlineStr"/>
      <c r="N75" s="5" t="inlineStr"/>
      <c r="O75" s="5" t="inlineStr"/>
      <c r="P75" s="5" t="inlineStr"/>
      <c r="Q75" s="6" t="inlineStr"/>
      <c r="R75" s="5" t="inlineStr"/>
      <c r="S75" s="5" t="inlineStr"/>
      <c r="T75" s="5" t="inlineStr"/>
      <c r="U75" s="5" t="inlineStr"/>
      <c r="V75" s="7" t="inlineStr"/>
      <c r="W75" s="7" t="inlineStr"/>
      <c r="X75" s="7" t="inlineStr"/>
      <c r="Y75" s="5" t="inlineStr"/>
      <c r="Z75" s="7" t="inlineStr">
        <is>
          <t>https://powo.science.kew.org/taxon/urn%3Alsid%3Aipni.org%3Anames%3A89013-1</t>
        </is>
      </c>
    </row>
    <row r="76" ht="26.25" customHeight="1">
      <c r="A76" s="4" t="inlineStr"/>
      <c r="B76" s="4" t="inlineStr">
        <is>
          <t>Spathiphyllum wilfridoanum</t>
        </is>
      </c>
      <c r="C76" s="4" t="inlineStr"/>
      <c r="D76" s="4" t="inlineStr"/>
      <c r="E76" s="4" t="inlineStr"/>
      <c r="F76" s="4" t="inlineStr"/>
      <c r="G76" s="4" t="inlineStr">
        <is>
          <t>Mexico (Tabasco)</t>
        </is>
      </c>
      <c r="H76" s="4" t="inlineStr"/>
      <c r="I76" s="4">
        <f>left(RIGHT(J76,5),4)</f>
        <v/>
      </c>
      <c r="J76" s="4" t="inlineStr">
        <is>
          <t>Phytotaxa 566: 126 (2022)</t>
        </is>
      </c>
      <c r="K76" s="4" t="inlineStr"/>
      <c r="L76" s="5" t="inlineStr"/>
      <c r="M76" s="5" t="inlineStr"/>
      <c r="N76" s="5" t="inlineStr"/>
      <c r="O76" s="5" t="inlineStr"/>
      <c r="P76" s="5" t="inlineStr"/>
      <c r="Q76" s="6" t="inlineStr"/>
      <c r="R76" s="5" t="inlineStr"/>
      <c r="S76" s="5" t="inlineStr"/>
      <c r="T76" s="5" t="inlineStr"/>
      <c r="U76" s="5" t="inlineStr"/>
      <c r="V76" s="7" t="inlineStr"/>
      <c r="W76" s="7" t="inlineStr"/>
      <c r="X76" s="7" t="inlineStr"/>
      <c r="Y76" s="5" t="inlineStr"/>
      <c r="Z76" s="7" t="inlineStr">
        <is>
          <t>https://powo.science.kew.org/taxon/urn%3Alsid%3Aipni.org%3Anames%3A77305906-1</t>
        </is>
      </c>
    </row>
    <row r="77" ht="26.25" customHeight="1">
      <c r="A77" s="4" t="inlineStr"/>
      <c r="B77" s="4" t="inlineStr">
        <is>
          <t>Spathiphyllum zetekianum</t>
        </is>
      </c>
      <c r="C77" s="4" t="inlineStr"/>
      <c r="D77" s="4" t="inlineStr"/>
      <c r="E77" s="4" t="inlineStr"/>
      <c r="F77" s="4" t="inlineStr"/>
      <c r="G77" s="4" t="inlineStr">
        <is>
          <t>Panama to Colombia</t>
        </is>
      </c>
      <c r="H77" s="4" t="inlineStr"/>
      <c r="I77" s="4">
        <f>left(RIGHT(J77,5),4)</f>
        <v/>
      </c>
      <c r="J77" s="4" t="inlineStr">
        <is>
          <t>Ann. Missouri Bot. Gard. 27: 267 (1940)</t>
        </is>
      </c>
      <c r="K77" s="4" t="inlineStr"/>
      <c r="L77" s="5" t="inlineStr"/>
      <c r="M77" s="5" t="inlineStr"/>
      <c r="N77" s="5" t="inlineStr"/>
      <c r="O77" s="5" t="inlineStr"/>
      <c r="P77" s="5" t="inlineStr"/>
      <c r="Q77" s="6" t="inlineStr"/>
      <c r="R77" s="5" t="inlineStr"/>
      <c r="S77" s="5" t="inlineStr"/>
      <c r="T77" s="5" t="inlineStr"/>
      <c r="U77" s="5" t="inlineStr"/>
      <c r="V77" s="7" t="inlineStr"/>
      <c r="W77" s="7" t="inlineStr"/>
      <c r="X77" s="7" t="inlineStr"/>
      <c r="Y77" s="5" t="inlineStr"/>
      <c r="Z77" s="7" t="inlineStr">
        <is>
          <t>https://powo.science.kew.org/taxon/urn%3Alsid%3Aipni.org%3Anames%3A241221-2</t>
        </is>
      </c>
    </row>
  </sheetData>
  <autoFilter ref="A1:AV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0.1" customWidth="1" min="1" max="1"/>
    <col width="16.6" customWidth="1" min="2" max="2"/>
    <col width="48.8" customWidth="1" min="3" max="3"/>
    <col width="72.8" customWidth="1" min="4" max="4"/>
    <col width="12.4" customWidth="1" min="5" max="5"/>
    <col width="18" customWidth="1" min="6" max="6"/>
    <col width="8.4" customWidth="1" min="7" max="7"/>
    <col width="22.9" customWidth="1" min="10" max="10"/>
  </cols>
  <sheetData>
    <row r="1">
      <c r="A1" t="inlineStr">
        <is>
          <t>CULTIVAR NAME</t>
        </is>
      </c>
      <c r="B1" t="inlineStr">
        <is>
          <t>CULTIVAR SPECIES</t>
        </is>
      </c>
      <c r="C1" t="inlineStr">
        <is>
          <t>ORIGIN</t>
        </is>
      </c>
      <c r="D1" t="inlineStr">
        <is>
          <t>ADDITIONAL CREDITS</t>
        </is>
      </c>
      <c r="E1" t="inlineStr">
        <is>
          <t>DESCRIPTION</t>
        </is>
      </c>
      <c r="F1" t="inlineStr">
        <is>
          <t>VARIEGATED FORMS</t>
        </is>
      </c>
      <c r="G1" t="inlineStr">
        <is>
          <t>HYBRIDS</t>
        </is>
      </c>
      <c r="H1" t="inlineStr">
        <is>
          <t>NOTES</t>
        </is>
      </c>
      <c r="I1" t="inlineStr">
        <is>
          <t>STORY</t>
        </is>
      </c>
      <c r="J1" t="inlineStr">
        <is>
          <t>ADDITIONAL REFERENCES</t>
        </is>
      </c>
      <c r="K1" t="inlineStr">
        <is>
          <t>SLUG</t>
        </is>
      </c>
      <c r="L1" t="inlineStr">
        <is>
          <t>IAS STATUS</t>
        </is>
      </c>
      <c r="M1" t="inlineStr">
        <is>
          <t>IAS PUBLISH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37.8" customWidth="1" min="2" max="2"/>
    <col width="45.4" customWidth="1" min="3" max="3"/>
    <col width="21.5" customWidth="1" min="5" max="5"/>
    <col width="14.2" customWidth="1" min="6" max="6"/>
    <col width="36.4" customWidth="1" min="8" max="8"/>
    <col width="27.6" customWidth="1" min="9" max="9"/>
  </cols>
  <sheetData>
    <row r="1">
      <c r="A1" s="8" t="inlineStr">
        <is>
          <t>AP</t>
        </is>
      </c>
      <c r="B1" s="8" t="inlineStr">
        <is>
          <t>HYBRID NAME</t>
        </is>
      </c>
      <c r="C1" s="8" t="inlineStr">
        <is>
          <t>SYNONYM</t>
        </is>
      </c>
      <c r="D1" s="8" t="inlineStr">
        <is>
          <t>PARENTAGE</t>
        </is>
      </c>
      <c r="E1" s="8" t="inlineStr">
        <is>
          <t>OVULE</t>
        </is>
      </c>
      <c r="F1" s="8" t="inlineStr">
        <is>
          <t>POLLEN</t>
        </is>
      </c>
      <c r="G1" s="8" t="inlineStr">
        <is>
          <t>HYBRIDIZER</t>
        </is>
      </c>
      <c r="H1" s="8" t="inlineStr">
        <is>
          <t>LINK</t>
        </is>
      </c>
      <c r="I1" s="9" t="inlineStr">
        <is>
          <t>ADDITIONAL CREDITS</t>
        </is>
      </c>
      <c r="J1" s="8" t="inlineStr">
        <is>
          <t>ORIGIN</t>
        </is>
      </c>
      <c r="K1" s="8" t="inlineStr">
        <is>
          <t>VARIEGATED FORMS</t>
        </is>
      </c>
      <c r="L1" s="8" t="inlineStr">
        <is>
          <t>DESCRIPTION</t>
        </is>
      </c>
      <c r="M1" s="8" t="inlineStr">
        <is>
          <t>HYBRIDS</t>
        </is>
      </c>
      <c r="N1" s="8" t="inlineStr">
        <is>
          <t>HYBRID DUPES</t>
        </is>
      </c>
      <c r="O1" s="8" t="inlineStr">
        <is>
          <t>NOMENCLATURE DEBATE</t>
        </is>
      </c>
      <c r="P1" s="8" t="inlineStr">
        <is>
          <t>NOTES</t>
        </is>
      </c>
      <c r="Q1" s="8" t="inlineStr">
        <is>
          <t>STORY</t>
        </is>
      </c>
      <c r="R1" s="8" t="inlineStr">
        <is>
          <t>ADDITIONAL REFERENCES</t>
        </is>
      </c>
      <c r="S1" s="8" t="inlineStr">
        <is>
          <t>SLUG</t>
        </is>
      </c>
      <c r="T1" s="9" t="inlineStr">
        <is>
          <t>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DATE</t>
        </is>
      </c>
      <c r="B1" t="inlineStr">
        <is>
          <t>NOTE</t>
        </is>
      </c>
      <c r="C1" t="inlineStr">
        <is>
          <t>AP 0%</t>
        </is>
      </c>
      <c r="D1" t="inlineStr">
        <is>
          <t>SPECIES NAME</t>
        </is>
      </c>
      <c r="E1" t="inlineStr">
        <is>
          <t>HOMOTYPIC SYNONYMS</t>
        </is>
      </c>
      <c r="F1" t="inlineStr">
        <is>
          <t>HETEROTYPIC SYNONYMS</t>
        </is>
      </c>
      <c r="G1" t="inlineStr">
        <is>
          <t>ACCEPTED INFRASPECIFICS</t>
        </is>
      </c>
      <c r="H1" t="inlineStr">
        <is>
          <t>OTHER NAMES</t>
        </is>
      </c>
      <c r="I1" t="inlineStr">
        <is>
          <t>GEOGRAPHY</t>
        </is>
      </c>
      <c r="J1" t="inlineStr">
        <is>
          <t>DOUBTFULLY PRESENT</t>
        </is>
      </c>
      <c r="K1" t="inlineStr">
        <is>
          <t>YEAR DESCRIBED</t>
        </is>
      </c>
      <c r="L1" t="inlineStr">
        <is>
          <t>JOURNAL</t>
        </is>
      </c>
      <c r="M1" t="inlineStr">
        <is>
          <t>JOURNAL AVAILABLE</t>
        </is>
      </c>
      <c r="N1" t="inlineStr">
        <is>
          <t>PROTOLOGUE NAME &amp; URL</t>
        </is>
      </c>
      <c r="O1" t="inlineStr">
        <is>
          <t>PROTOLOGUE TEXT</t>
        </is>
      </c>
      <c r="P1" t="inlineStr">
        <is>
          <t>DESCRIPTION</t>
        </is>
      </c>
      <c r="Q1" t="inlineStr">
        <is>
          <t>INFLORESCENCE</t>
        </is>
      </c>
      <c r="R1" t="inlineStr">
        <is>
          <t>ADDITIONAL DISTRIBUTION</t>
        </is>
      </c>
      <c r="S1" t="inlineStr">
        <is>
          <t>INATURALIST</t>
        </is>
      </c>
      <c r="T1" t="inlineStr">
        <is>
          <t>ECOLOGY</t>
        </is>
      </c>
      <c r="U1" t="inlineStr">
        <is>
          <t>ETYMOLOGY</t>
        </is>
      </c>
      <c r="V1" t="inlineStr">
        <is>
          <t>ADDITIONAL CREDITS</t>
        </is>
      </c>
      <c r="W1" t="inlineStr">
        <is>
          <t>NOTES</t>
        </is>
      </c>
      <c r="X1" t="inlineStr">
        <is>
          <t>PROPAGATION</t>
        </is>
      </c>
      <c r="Y1" t="inlineStr">
        <is>
          <t>STORY</t>
        </is>
      </c>
      <c r="Z1" t="inlineStr">
        <is>
          <t>ADDITIONAL REFERENCES</t>
        </is>
      </c>
      <c r="AA1" t="inlineStr">
        <is>
          <t>HYBRIDS</t>
        </is>
      </c>
      <c r="AB1" t="inlineStr">
        <is>
          <t>KEW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2026-09-29T17:19:24Z</dcterms:created>
  <dcterms:modified xsi:type="dcterms:W3CDTF">2026-09-29T17:19:24Z</dcterms:modified>
</cp:coreProperties>
</file>