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CIES" sheetId="1" state="visible" r:id="rId1"/>
    <sheet name="CULTIVARS" sheetId="2" state="visible" r:id="rId2"/>
    <sheet name="HYBRIDS" sheetId="3" state="visible" r:id="rId3"/>
    <sheet name="ROW BACKUPS" sheetId="4" state="visible" r:id="rId4"/>
  </sheets>
  <definedNames>
    <definedName name="_xlnm._FilterDatabase" localSheetId="0" hidden="1">'SPECIES'!$A$1:$AV$16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name val="Calibri"/>
      <sz val="11"/>
    </font>
    <font>
      <name val="Calibri"/>
      <color rgb="000000FF"/>
      <sz val="11"/>
    </font>
    <font>
      <b val="1"/>
    </font>
    <font/>
  </fonts>
  <fills count="3">
    <fill>
      <patternFill/>
    </fill>
    <fill>
      <patternFill patternType="gray125"/>
    </fill>
    <fill>
      <patternFill patternType="solid">
        <fgColor rgb="000B539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center" wrapText="1"/>
    </xf>
    <xf numFmtId="0" fontId="1" fillId="2" borderId="0" applyAlignment="1" pivotButton="0" quotePrefix="0" xfId="0">
      <alignment vertical="center"/>
    </xf>
    <xf numFmtId="0" fontId="2" fillId="0" borderId="0" applyAlignment="1" pivotButton="0" quotePrefix="0" xfId="0">
      <alignment vertical="bottom"/>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9" customWidth="1" min="2" max="2"/>
    <col width="74.90000000000001" customWidth="1" min="3" max="3"/>
    <col width="10" customWidth="1" min="4" max="4"/>
    <col width="17.6" customWidth="1" min="5" max="5"/>
    <col width="19.8" customWidth="1" min="6" max="6"/>
    <col width="65.40000000000001" customWidth="1" min="7" max="7"/>
    <col width="10.9" customWidth="1" min="8" max="8"/>
    <col width="9.6" customWidth="1" min="9" max="9"/>
    <col width="66.59999999999999" customWidth="1" min="10" max="10"/>
    <col width="4.4" customWidth="1" min="11" max="11"/>
    <col width="81.90000000000001" customWidth="1" min="12" max="12"/>
    <col width="17.5" customWidth="1" min="13" max="13"/>
    <col width="18.6" customWidth="1" min="14" max="14"/>
    <col width="37.8" customWidth="1" min="15" max="15"/>
    <col width="29.8" customWidth="1" min="16" max="16"/>
    <col width="57.6" customWidth="1" min="17" max="17"/>
    <col width="33.5" customWidth="1" min="18" max="18"/>
    <col width="29.6" customWidth="1" min="19" max="19"/>
    <col width="24.2" customWidth="1" min="20" max="20"/>
    <col width="45.4" customWidth="1" min="21" max="21"/>
    <col width="80.90000000000001" customWidth="1" min="22" max="22"/>
    <col width="23.6" customWidth="1" min="23" max="23"/>
    <col width="90.5" customWidth="1" min="24" max="24"/>
    <col width="79.40000000000001" customWidth="1" min="25" max="25"/>
    <col width="67.8" customWidth="1" min="26" max="26"/>
    <col width="29.1" customWidth="1" min="27" max="27"/>
  </cols>
  <sheetData>
    <row r="1" ht="26.25" customHeight="1">
      <c r="A1" s="1">
        <f>"AP "&amp;ROUNDUP(AC1*100,1)&amp;"%"</f>
        <v/>
      </c>
      <c r="B1" s="1" t="inlineStr">
        <is>
          <t>SPECIES NAME</t>
        </is>
      </c>
      <c r="C1" s="1" t="inlineStr">
        <is>
          <t>HOMOTYPIC SYNONYMS</t>
        </is>
      </c>
      <c r="D1" s="1" t="inlineStr">
        <is>
          <t>HETEROTYPIC SYNONYMS</t>
        </is>
      </c>
      <c r="E1" s="1" t="inlineStr">
        <is>
          <t>ACCEPTED INFRASPECIFICS</t>
        </is>
      </c>
      <c r="F1" s="1" t="inlineStr">
        <is>
          <t>OTHER NAMES</t>
        </is>
      </c>
      <c r="G1" s="1" t="inlineStr">
        <is>
          <t>GEOGRAPHY</t>
        </is>
      </c>
      <c r="H1" s="1" t="inlineStr">
        <is>
          <t>DOUBTFULLY PRESENT</t>
        </is>
      </c>
      <c r="I1" s="1" t="inlineStr">
        <is>
          <t>YEAR DESCRIBED</t>
        </is>
      </c>
      <c r="J1" s="1" t="inlineStr">
        <is>
          <t>JOURNAL</t>
        </is>
      </c>
      <c r="K1" s="1" t="inlineStr">
        <is>
          <t>JOURNAL AVAILABLE</t>
        </is>
      </c>
      <c r="L1" s="2" t="inlineStr">
        <is>
          <t>PROTOLOGUE NAME &amp; URL</t>
        </is>
      </c>
      <c r="M1" s="2" t="inlineStr">
        <is>
          <t>PROTOLOGUE TEXT</t>
        </is>
      </c>
      <c r="N1" s="2" t="inlineStr">
        <is>
          <t>DESCRIPTION</t>
        </is>
      </c>
      <c r="O1" s="2" t="inlineStr">
        <is>
          <t>INFLORESCENCE</t>
        </is>
      </c>
      <c r="P1" s="2" t="inlineStr">
        <is>
          <t>ADDITIONAL DISTRIBUTION</t>
        </is>
      </c>
      <c r="Q1" s="2" t="inlineStr">
        <is>
          <t>INATURALIST</t>
        </is>
      </c>
      <c r="R1" s="2" t="inlineStr">
        <is>
          <t>ECOLOGY</t>
        </is>
      </c>
      <c r="S1" s="2" t="inlineStr">
        <is>
          <t>ETYMOLOGY</t>
        </is>
      </c>
      <c r="T1" s="2" t="inlineStr">
        <is>
          <t>ADDITIONAL CREDITS</t>
        </is>
      </c>
      <c r="U1" s="2" t="inlineStr">
        <is>
          <t>NOTES</t>
        </is>
      </c>
      <c r="V1" s="3" t="inlineStr">
        <is>
          <t>PROPAGATION</t>
        </is>
      </c>
      <c r="W1" s="3" t="inlineStr">
        <is>
          <t>STORY</t>
        </is>
      </c>
      <c r="X1" s="3" t="inlineStr">
        <is>
          <t>ADDITIONAL REFERENCES</t>
        </is>
      </c>
      <c r="Y1" s="2" t="inlineStr">
        <is>
          <t>HYBRIDS</t>
        </is>
      </c>
      <c r="Z1" s="2" t="inlineStr">
        <is>
          <t>KEW LINK</t>
        </is>
      </c>
      <c r="AC1">
        <f>AD1/COUNTA(B2:B31)</f>
        <v/>
      </c>
      <c r="AD1">
        <f>COUNTIF(A2:A31,"Y")</f>
        <v/>
      </c>
    </row>
    <row r="2" ht="26.25" customHeight="1">
      <c r="A2" s="4" t="inlineStr"/>
      <c r="B2" s="4" t="inlineStr">
        <is>
          <t>Cyrtosperma beccarianum</t>
        </is>
      </c>
      <c r="C2" s="4" t="inlineStr"/>
      <c r="D2" s="4" t="inlineStr"/>
      <c r="E2" s="4" t="inlineStr"/>
      <c r="F2" s="4" t="inlineStr">
        <is>
          <t>Cyrtosperma macrotum Becc. ex Engl. (1879) pro parte, as to the Batanta specimen.²</t>
        </is>
      </c>
      <c r="G2" s="4" t="inlineStr">
        <is>
          <t>New Guinea</t>
        </is>
      </c>
      <c r="H2" s="4" t="inlineStr"/>
      <c r="I2" s="4">
        <f>left(RIGHT(J2,5),4)</f>
        <v/>
      </c>
      <c r="J2" s="4" t="inlineStr">
        <is>
          <t>Blumea 33(2): 455 (1988)</t>
        </is>
      </c>
      <c r="K2" s="4" t="inlineStr">
        <is>
          <t>Y</t>
        </is>
      </c>
      <c r="L2" s="5" t="inlineStr">
        <is>
          <t>Blumea 33: 455 (1988) | https://repository.naturalis.nl/pub/526134</t>
        </is>
      </c>
      <c r="M2" s="5" t="inlineStr">
        <is>
          <t>image</t>
        </is>
      </c>
      <c r="N2" s="5" t="inlineStr">
        <is>
          <t>Feeble to moderately robust herb 40–150 cm tall. Leaves 3–7; sheath papery, fibrous, about a quarter the length of the petiole; petiole sparsely armed to unarmed, rarely rather densely spiny; blade variable, held with the anterior lobe down and the posterior lobes up, usually sagittate; anterior lobe triangular, c. 10 cm long and 8 cm wide at the base; posterior lobes lanceolate, c. 25 cm long and 7.5 cm wide at the midpoint, their midribs naked in the angle of the sinus for up to 4 cm, the sinus 30–100 degrees.²</t>
        </is>
      </c>
      <c r="O2" s="5" t="inlineStr">
        <is>
          <t>Peduncle subequalling to exceeding the petioles, mostly with sparser armature, like the petioles variously blotched and marbled green, brown, pink and white, or plain brown or green, often drying greyish. Spathe broadly to narrowly ovate, opening broadly boat-shaped to flat, white, pale pink or pale yellow, the tip acuminate, from 1.8 by 5 cm to 4.8 by 9 cm; spadix sessile, adnate to the spathe for c. 5 mm, 4 by 20 mm in flower and 1.5 by 6 cm in fruit, pale yellow. Flowers tetramerous; ovule solitary. Fruit orange, globose, protruding from the spadix as it swells. Seeds tightly curved, smooth.²</t>
        </is>
      </c>
      <c r="P2" s="5" t="inlineStr">
        <is>
          <t>Papua New Guinea: Western
Indonesia: Papua</t>
        </is>
      </c>
      <c r="Q2" s="6" t="inlineStr"/>
      <c r="R2" s="5" t="inlineStr">
        <is>
          <t>Low altitude, in streams and ditches and in the undergrowth of swamp forest and gallery forest, in shade; ecology and leaf form combine to make most individuals rheophytes.² 24–210 m.⁴</t>
        </is>
      </c>
      <c r="S2" s="5" t="inlineStr">
        <is>
          <t>For Odoardo Beccari (1843–1920), the Florentine botanist and explorer of New Guinea who collected the type in 1875.</t>
        </is>
      </c>
      <c r="T2" s="5" t="inlineStr"/>
      <c r="U2" s="5" t="inlineStr">
        <is>
          <t>1. A member of the Macrotum group, distinguished from C. macrotum by the leaf held with the posterior lobes up and the anterior lobe down and by the broad, flat spathe.² Hariri et al. (2024) list it with C. macrotum, C. hayii and C. prasinispathum.⁵
2. The type story: Engler's protologue of C. macrotum cited "Batanta, Beccari" and "Fly River, D'Albertis". Hay found that Beccari 619, the plant actually described and figured in fruit, came from Andai, not Batanta; that the Batanta plant of July 1875 was a different species, which became the type of this one; and that the D'Albertis gathering is a leaf of C. macrotum with an inflorescence of Lasia spinosa.²
3. Small, tetramerous and pale-spathed, it is the species most likely to be confused with C. prasinispathum, whose authors compared their plant only with C. macrotum.⁵
4. ⚠ No photograph of a living plant was found in the sources pulled; the genus-level iNaturalist observations from Indonesian Papua may include it.³</t>
        </is>
      </c>
      <c r="V2" s="7" t="inlineStr"/>
      <c r="W2" s="7" t="inlineStr"/>
      <c r="X2" s="7" t="inlineStr">
        <is>
          <t>iNaturalist: Cyrtosperma beccarianum | https://www.inaturalist.org/taxa/937782
Hariri, M.R. et al. 2024. Cyrtosperma prasinispathum: a new fascinating Aroid species from Papua, Indonesia. Webbia 79(2): 291–294 | https://doi.org/10.36253/jopt-16076</t>
        </is>
      </c>
      <c r="Y2" s="5" t="inlineStr"/>
      <c r="Z2" s="7" t="inlineStr">
        <is>
          <t>https://powo.science.kew.org/taxon/urn%3Alsid%3Aipni.org%3Anames%3A935719-1</t>
        </is>
      </c>
    </row>
    <row r="3" ht="26.25" customHeight="1">
      <c r="A3" s="4" t="inlineStr"/>
      <c r="B3" s="4" t="inlineStr">
        <is>
          <t>Cyrtosperma bougainvillense</t>
        </is>
      </c>
      <c r="C3" s="4" t="inlineStr"/>
      <c r="D3" s="4" t="inlineStr"/>
      <c r="E3" s="4" t="inlineStr"/>
      <c r="F3" s="4" t="inlineStr"/>
      <c r="G3" s="4" t="inlineStr">
        <is>
          <t>Solomon Is.</t>
        </is>
      </c>
      <c r="H3" s="4" t="inlineStr"/>
      <c r="I3" s="4">
        <f>left(RIGHT(J3,5),4)</f>
        <v/>
      </c>
      <c r="J3" s="4" t="inlineStr">
        <is>
          <t>Blumea 33(2): 441 (1988)</t>
        </is>
      </c>
      <c r="K3" s="4" t="inlineStr">
        <is>
          <t>Y</t>
        </is>
      </c>
      <c r="L3" s="5" t="inlineStr">
        <is>
          <t>Blumea 33: 441 (1988) | https://repository.naturalis.nl/pub/526134</t>
        </is>
      </c>
      <c r="M3" s="5" t="inlineStr">
        <is>
          <t>image</t>
        </is>
      </c>
      <c r="N3" s="5" t="inlineStr">
        <is>
          <t>Robust, usually solitary herb 1–2.4 m tall; rhizome often long and creeping. Leaves 2–5, sagittate; petioles prickly, green mottled with white; spines slender, without conspicuously broad bases, slightly curved, scattered or tending to short comb-like clusters; geniculus up to 14 cm long; sheath papery-fibrous, about a fifth the length of the petiole; posterior lobes 40–75 cm long and 20–30 cm wide, the tips not acuminate; anterior lobe 35–50 cm long and to c. 60 cm wide, with spreading costae.²</t>
        </is>
      </c>
      <c r="O3" s="5" t="inlineStr">
        <is>
          <t>Peduncle to 2 m long, usually shorter than the petioles, prickly. Spathe blackish purple to almost white, broadly lanceolate, to 27 cm long and 6.5 cm wide, widely open to the base, somewhat deflected from the spadix and not shielding it from the side, the upper part sometimes falling forward over the spadix. Spadix stipitate for c. 6 mm, the insertion running c. 1 cm up the spathe; fertile part to 11.5 cm long and 1.6 cm wide in flower, purplish to glaucous-blue. Flowers hexamerous; anthers dirty yellow, exserted from the tepals at male anthesis; receptive stigmas bright scarlet; ovules one or two. Fruiting spadix becoming horizontal to pendulous, dark bluish to black. Fruit obpyramidal, c. 8 by 8 mm, orange, truncate at the apex. Seed tightly curved over on itself; seed coat very thick, stony, somewhat rough.²</t>
        </is>
      </c>
      <c r="P3" s="5" t="inlineStr">
        <is>
          <t>Papua New Guinea: Bougainville</t>
        </is>
      </c>
      <c r="Q3" s="6" t="inlineStr"/>
      <c r="R3" s="5" t="inlineStr">
        <is>
          <t>Montane rainforest and regrowth in moist gullies at 600–2,000 m on the actively volcanic, copper-bearing island of Bougainville; possibly restricted to cupriferous soils.² Records at 610–884 m.⁴</t>
        </is>
      </c>
      <c r="S3" s="5" t="inlineStr">
        <is>
          <t>Of Bougainville, the island to which it is confined.</t>
        </is>
      </c>
      <c r="T3" s="5" t="inlineStr"/>
      <c r="U3" s="5" t="inlineStr">
        <is>
          <t>1. The seed is distinctive: campylotropous like the rest of the genus, but with the micropylar and chalazal ends overlapping so that it is helical, and the funicle appears to enter through a hole in the side.² With the heavily ornamented seed coat and the exserted anthers it sits closest to the lowland C. merkusii.²
2. The bright scarlet receptive stigmas and glaucous-blue spadix are unique in the genus.²
3. Bougainville's history since the 1960s has left the species uncollected for decades, and no photograph of a living plant was found.⁴ ⚠</t>
        </is>
      </c>
      <c r="V3" s="7" t="inlineStr"/>
      <c r="W3" s="7" t="inlineStr"/>
      <c r="X3" s="7" t="inlineStr">
        <is>
          <t>iNaturalist: Cyrtosperma bougainvillense | https://www.inaturalist.org/taxa/937781</t>
        </is>
      </c>
      <c r="Y3" s="5" t="inlineStr"/>
      <c r="Z3" s="7" t="inlineStr">
        <is>
          <t>https://powo.science.kew.org/taxon/urn%3Alsid%3Aipni.org%3Anames%3A935716-1</t>
        </is>
      </c>
    </row>
    <row r="4" ht="26.25" customHeight="1">
      <c r="A4" s="4" t="inlineStr"/>
      <c r="B4" s="4" t="inlineStr">
        <is>
          <t>Cyrtosperma brassii</t>
        </is>
      </c>
      <c r="C4" s="4" t="inlineStr"/>
      <c r="D4" s="4" t="inlineStr"/>
      <c r="E4" s="4" t="inlineStr"/>
      <c r="F4" s="4" t="inlineStr"/>
      <c r="G4" s="4" t="inlineStr">
        <is>
          <t>New Guinea</t>
        </is>
      </c>
      <c r="H4" s="4" t="inlineStr"/>
      <c r="I4" s="4">
        <f>left(RIGHT(J4,5),4)</f>
        <v/>
      </c>
      <c r="J4" s="4" t="inlineStr">
        <is>
          <t>Blumea 33(2): 439 (1988)</t>
        </is>
      </c>
      <c r="K4" s="4" t="inlineStr">
        <is>
          <t>Y</t>
        </is>
      </c>
      <c r="L4" s="5" t="inlineStr">
        <is>
          <t>Blumea 33: 439 (1988) | https://repository.naturalis.nl/pub/526134</t>
        </is>
      </c>
      <c r="M4" s="5" t="inlineStr">
        <is>
          <t>image</t>
        </is>
      </c>
      <c r="N4" s="5" t="inlineStr">
        <is>
          <t>Robust herb to 2.5 m tall. Leaves 2 to several; petioles spreading out from the base, very prickly with small spines arranged in combs at least towards the base, mottled green and white; blade sagittate, to 120 cm long, held with the anterior lobe up and the posterior lobes down; costae of the anterior lobe pinnate, spreading; posterior lobes with the midribs naked in the sinus for c. 6 cm, to 30 cm wide at the widest point, with acuminate tips; both surfaces of the blade rough (asperous) in the dry state though not when fresh.²</t>
        </is>
      </c>
      <c r="O4" s="5" t="inlineStr">
        <is>
          <t>Peduncle similar to but usually somewhat shorter than the petioles. Spathe ovate-lanceolate, to 18 cm long, remaining somewhat constricted above the level of the spadix apex after opening, boat-shaped, blackish purple, with parallel major venation and reticulate secondary venation; spadix with a c. 5 mm free, unarmed stipe, to c. 7 cm long, creamy yellow. Flowers tetramerous; ovaries 1(–2)-ovulate; anthers exserted from the tepals at male anthesis. Fruit ovoid, orange-red. Seed smooth, very faintly longitudinally ridged.²</t>
        </is>
      </c>
      <c r="P4" s="5" t="inlineStr"/>
      <c r="Q4" s="6" t="inlineStr"/>
      <c r="R4" s="5" t="inlineStr">
        <is>
          <t>Rainforest on Rossel Island, at low altitude.² ⁴</t>
        </is>
      </c>
      <c r="S4" s="5" t="inlineStr">
        <is>
          <t>For Leonard J. Brass (1900–1971), the Australian botanist of the Archbold Expeditions who collected the type on the Fifth Archbold Expedition in 1956.</t>
        </is>
      </c>
      <c r="T4" s="5" t="inlineStr"/>
      <c r="U4" s="5" t="inlineStr">
        <is>
          <t>1. One of two Louisiade endemics, with C. gressittiorum on Sudest; both are tetramerous members of the Merkusii group, the group otherwise hexamerous.² With C. bougainvillense they are the closest relatives of the giant swamp taro, which bears on the question of where that crop came into cultivation.²
2. Grown at the Lae Botanic Gardens in the 1980s, from which Hay drew the figure.²
3. ⚠ No photograph of a living plant was found.</t>
        </is>
      </c>
      <c r="V4" s="7" t="inlineStr"/>
      <c r="W4" s="7" t="inlineStr"/>
      <c r="X4" s="7" t="inlineStr">
        <is>
          <t>iNaturalist: Cyrtosperma brassii | https://www.inaturalist.org/taxa/937780</t>
        </is>
      </c>
      <c r="Y4" s="5" t="inlineStr"/>
      <c r="Z4" s="7" t="inlineStr">
        <is>
          <t>https://powo.science.kew.org/taxon/urn%3Alsid%3Aipni.org%3Anames%3A935715-1</t>
        </is>
      </c>
    </row>
    <row r="5" ht="26.25" customHeight="1">
      <c r="A5" s="4" t="inlineStr"/>
      <c r="B5" s="4" t="inlineStr">
        <is>
          <t>Cyrtosperma carrii</t>
        </is>
      </c>
      <c r="C5" s="4" t="inlineStr"/>
      <c r="D5" s="4" t="inlineStr"/>
      <c r="E5" s="4" t="inlineStr"/>
      <c r="F5" s="4" t="inlineStr"/>
      <c r="G5" s="4" t="inlineStr">
        <is>
          <t>New Guinea</t>
        </is>
      </c>
      <c r="H5" s="4" t="inlineStr"/>
      <c r="I5" s="4">
        <f>left(RIGHT(J5,5),4)</f>
        <v/>
      </c>
      <c r="J5" s="4" t="inlineStr">
        <is>
          <t>Blumea 33(2): 450 (1988)</t>
        </is>
      </c>
      <c r="K5" s="4" t="inlineStr">
        <is>
          <t>Y</t>
        </is>
      </c>
      <c r="L5" s="5" t="inlineStr">
        <is>
          <t>Blumea 33: 450 (1988) | https://repository.naturalis.nl/pub/526134</t>
        </is>
      </c>
      <c r="M5" s="5" t="inlineStr">
        <is>
          <t>image</t>
        </is>
      </c>
      <c r="N5" s="5" t="inlineStr">
        <is>
          <t>Herb to 55 cm tall. Leaves several, hastate, armed on the petiole and on the underside and margins of the blade; petioles to 50 cm long with a sheath 11 cm long; blade to 40 cm long, coriaceous; spines sparse, straight to very slightly curved, to 5 mm long; anterior lobe oblong, gradually acuminate, subequalling the posterior lobes; two anterior costae emerging near the sinus, curvinerved, running to the margin near the tip; posterior lobes broadly lanceolate, their midribs naked in the sinus for c. 3 cm.²</t>
        </is>
      </c>
      <c r="O5" s="5" t="inlineStr">
        <is>
          <t>Spathe broadly ovate, clasping in the lower fifth, c. 12 cm long and to 8 cm wide when flattened, deep reddish brown with yellow, widely reticulate venation that persists as a skeleton around the fruiting spadix; spadix with a 4 mm stipe adnate to the spathe, the fertile part c. 2.5 cm long and 5 mm wide. Flowers tetramerous; anthers exserted from the tepals at male anthesis (Hay wrote in 1988 that they were not, from limited herbarium material, and corrected this from living plants in 2001); stigmas raised 1–2 mm on the conical apex of the ovary. Fruit ovoid, capped by the style and stigma. Seed smooth.²</t>
        </is>
      </c>
      <c r="P5" s="5" t="inlineStr">
        <is>
          <t>Papua New Guinea: Central</t>
        </is>
      </c>
      <c r="Q5" s="6" t="inlineStr">
        <is>
          <t>SUBUNITS (within recorded native range):
Central, Papua New Guinea (1)
LIKELY INTRODUCED (trans-continental — almost certainly cultivated/naturalized):
Bayern, Germany (1)</t>
        </is>
      </c>
      <c r="R5" s="5" t="inlineStr">
        <is>
          <t>Lowland and lower montane rainforest undergrowth at 200–700 m.²</t>
        </is>
      </c>
      <c r="S5" s="5" t="inlineStr">
        <is>
          <t>For Cedric Errol Carr (1892–1936), the New Zealand-born orchid collector who gathered the type in 1935 and died of blackwater fever in Port Moresby the following year.²</t>
        </is>
      </c>
      <c r="T5" s="5" t="inlineStr"/>
      <c r="U5" s="5" t="inlineStr">
        <is>
          <t>1. The sole member of Hay's Carrii group: lower spathe convolute, flowers tetramerous, style conical and persisting on the fruit.²
2. The net of yellow veins that remains as a skeleton around the fruiting spadix after the spathe tissue has gone is unique in the genus.²
3. "Cyrtosperma carrii would seem to have horticultural potential", Hay wrote in 1988;² a cultivated plant was recorded on iNaturalist in 2025.³
4. Dearden &amp; Hay (2001) note that C. hambalii recalls this species in its dark spathe and exserted stamens, and record that the stamens of C. carrii are exserted at male anthesis, correcting the 1988 account.⁵</t>
        </is>
      </c>
      <c r="V5" s="7" t="inlineStr"/>
      <c r="W5" s="7" t="inlineStr"/>
      <c r="X5" s="7" t="inlineStr">
        <is>
          <t>iNaturalist: Cyrtosperma carrii | https://www.inaturalist.org/taxa/430921
Dearden, A. &amp; Hay, A. 2001. A new species of Cyrtosperma (Araceae) from West Papua. Aroideana 24: 102–104.</t>
        </is>
      </c>
      <c r="Y5" s="5" t="inlineStr"/>
      <c r="Z5" s="7" t="inlineStr">
        <is>
          <t>https://powo.science.kew.org/taxon/urn%3Alsid%3Aipni.org%3Anames%3A935718-1</t>
        </is>
      </c>
    </row>
    <row r="6" ht="26.25" customHeight="1">
      <c r="A6" s="4" t="inlineStr"/>
      <c r="B6" s="4" t="inlineStr">
        <is>
          <t>Cyrtosperma cuspidispathum</t>
        </is>
      </c>
      <c r="C6" s="4" t="inlineStr"/>
      <c r="D6" s="4" t="inlineStr"/>
      <c r="E6" s="4" t="inlineStr"/>
      <c r="F6" s="4" t="inlineStr">
        <is>
          <t>Engler's New Guinea records of Cyrtosperma merkusii and C. edule (1879, 1911) and Krause &amp; Alderwerelt's C. macrotum (1924, as to specimens cited) belong here in part.⁴</t>
        </is>
      </c>
      <c r="G6" s="4" t="inlineStr">
        <is>
          <t>New Guinea</t>
        </is>
      </c>
      <c r="H6" s="4" t="inlineStr"/>
      <c r="I6" s="4">
        <f>left(RIGHT(J6,5),4)</f>
        <v/>
      </c>
      <c r="J6" s="4" t="inlineStr">
        <is>
          <t>Bull. Jard. Bot. Buitenzorg ser. III, i. 371 (1920)</t>
        </is>
      </c>
      <c r="K6" s="4" t="inlineStr">
        <is>
          <t>Y</t>
        </is>
      </c>
      <c r="L6" s="5" t="inlineStr">
        <is>
          <t>Bulletin du Jardin Botanique de Buitenzorg sér. 3, 1: 374 (1920) | https://archive.org/details/bulletindelinsti20kebu</t>
        </is>
      </c>
      <c r="M6" s="5" t="inlineStr">
        <is>
          <t>image</t>
        </is>
      </c>
      <c r="N6" s="5" t="inlineStr">
        <is>
          <t>Moderately robust to gigantic, solitary or rarely suckering herb to c. 4 m tall; rhizome creeping, subterranean, up to 13 cm in diameter but very short because the older parts rot quickly. Leaves 2 to several; petiole brown, green, or mottled in combinations of these with white; armature sparse to dense, the spines, at least in the lower parts of the petioles and peduncles, small, squat, abruptly upturned and easily dislodged; petioles standing subparallel, not distinctly diverging from the base; blade hastate or sagittate, to 1.3 m long, in smaller plants often with the lobes much narrower than long, held with the posterior lobes down and the anterior lobe up, somewhat flaccid, unarmed.⁴</t>
        </is>
      </c>
      <c r="O6" s="5" t="inlineStr">
        <is>
          <t>Peduncle somewhat shorter than the petioles. Spathe 17 to c. 100 cm long, clasping in the lower quarter, ovate-lanceolate, in smaller plants erect, with increasing size the apical acuminate portion somewhat reflexed to greatly elongated, spirally twisted and dangling, purple-brown, usually with yellow veins outside and with pale pink to cream streaks towards the midline within; spadix to 18 cm long in flower, with a free, sometimes armed stipe 2–6 cm long. Flowers hexamerous; anthers not exceeding the tepals at male anthesis; stigmas more or less sessile, white turning brown; ovaries predominantly uniovulate, rarely biovulate. Fruit when ripe expelled from the spadix and held there by the stripped-away adaxial epidermis of the tepals. Seed slightly and irregularly ridged.⁴</t>
        </is>
      </c>
      <c r="P6" s="5" t="inlineStr">
        <is>
          <t>Papua New Guinea: Madang, East Sepik, Morobe, Simbu, Sandaun
Indonesia: Papua</t>
        </is>
      </c>
      <c r="Q6" s="6" t="inlineStr">
        <is>
          <t>SUBUNITS (within recorded native range):
Central, Papua New Guinea (1)
Papua Barat, Indonesia (2)
Papua, Indonesia (4)
NOT IN THE RECORDED NATIVE RANGE (verify before any tag):
Jawa Barat, Indonesia (1)
Queensland, Australia (1)
Yogyakarta, Indonesia (1)</t>
        </is>
      </c>
      <c r="R6" s="5" t="inlineStr">
        <is>
          <t>Lowland rainforest undergrowth and regrowth, predominantly on alluvial soils; one collection from lower montane forest on limestone at 500–600 m.⁴ In the Gogol Valley plants in logged regrowth reached the maximum size recorded for the species seven years after clearing, and seedlings establish in one-year-old regrowth.⁴</t>
        </is>
      </c>
      <c r="S6" s="5" t="inlineStr">
        <is>
          <t>From the Latin cuspis, a point, and spatha: the spathe drawn out into a long, tapering cusp.</t>
        </is>
      </c>
      <c r="T6" s="5" t="inlineStr"/>
      <c r="U6" s="5" t="inlineStr">
        <is>
          <t>1. One of the giants of the genus, with C. giganteum and C. timikense; Hay &amp; Imran (2020) compare their C. timikense with this species, which it most resembles.⁶
2. Flowering is protogynous. The stigmas become receptive shortly after the spathe unrolls, in a rapid basipetal sequence over about two days, and remain receptive for about three weeks, each bearing a drop of nectar, unless pollination has occurred. Pollen is released only after the stigmas have ceased; the anthers open by apical pore-like slits and extrude the pollen in coherent rope-like masses, all the anthers of a flower together and in a slow basipetal sequence lasting several weeks along the spadix, the larger the inflorescence the longer the anthesis.⁴
3. Once the nectariferous stigmas stop there is no reward but pollen. Weevils, Trochorhopalus strangulatus, a species ranging from the Indian to the Pacific Ocean, feed on the tissue inside the base of the spathe. The inflorescence emits a faint musty, fruity odour day and night before, during and shortly after anthesis.⁴
4. As the inflorescence becomes an infructescence the geniculus at the top of the peduncle turns the spadix from pointing vertically up to pointing vertically down.⁴
5. Ripe fruits are pushed out of the spadix, presumably by the pressure of their own growth, and dangle from it by the inner epidermis of the tepals, which is stripped away as they emerge; they recall arillate seeds hanging by their funicles. In most Cyrtosperma the fruits stay attached until removed or until the spadix disintegrates; the mechanism is otherwise familiar in Anthurium.⁴
6. The New Guinea specimens Engler cited under C. merkusii and C. edule were not located by Hay and may have been destroyed in Berlin, but from their localities they are almost certainly this species; Engler's Pflanzenreich fig. 6, captioned C. edule, is clearly this plant.⁴
7. In cultivation at Lae the rhizomes suckered into large clumps, which Hay did not see in the wild.⁴ Indonesian growers now cultivate it, and it appears among iNaturalist records as garden plants.³</t>
        </is>
      </c>
      <c r="V6" s="7" t="inlineStr"/>
      <c r="W6" s="7" t="inlineStr"/>
      <c r="X6" s="7" t="inlineStr">
        <is>
          <t>iNaturalist: Cyrtosperma cuspidispathum | https://www.inaturalist.org/taxa/937779
Hay, A. 1988. Cyrtosperma (Araceae) and its Old World allies. Blumea 33: 427–469 | https://repository.naturalis.nl/pub/526134
Hay, A. &amp; Imran. 2020. A third enormous New Guinea lasioid — Cyrtosperma timikense, a new species from southern Papua Province, Indonesia. Aroideana 43(3–4): 97–107.
Krause, K. &amp; Alderwerelt van Rosenburgh, C.R.W.K. van. 1924. Nova Guinea 14: 215.
Engler, A. 1911. Araceae-Lasioideae. Das Pflanzenreich IV.23C: 17–20, fig. 6 | https://archive.org/details/daspflanzenreich48engluoft</t>
        </is>
      </c>
      <c r="Y6" s="5" t="inlineStr"/>
      <c r="Z6" s="7" t="inlineStr">
        <is>
          <t>https://powo.science.kew.org/taxon/urn%3Alsid%3Aipni.org%3Anames%3A86814-1</t>
        </is>
      </c>
    </row>
    <row r="7" ht="26.25" customHeight="1">
      <c r="A7" s="4" t="inlineStr"/>
      <c r="B7" s="4" t="inlineStr">
        <is>
          <t>Cyrtosperma giganteum</t>
        </is>
      </c>
      <c r="C7" s="4" t="inlineStr"/>
      <c r="D7" s="4" t="inlineStr"/>
      <c r="E7" s="4" t="inlineStr"/>
      <c r="F7" s="4" t="inlineStr"/>
      <c r="G7" s="4" t="inlineStr">
        <is>
          <t>New Guinea</t>
        </is>
      </c>
      <c r="H7" s="4" t="inlineStr"/>
      <c r="I7" s="4">
        <f>left(RIGHT(J7,5),4)</f>
        <v/>
      </c>
      <c r="J7" s="4" t="inlineStr">
        <is>
          <t>Nova Guinea 8: 249 (1910)</t>
        </is>
      </c>
      <c r="K7" s="4" t="inlineStr">
        <is>
          <t>Y</t>
        </is>
      </c>
      <c r="L7" s="5" t="inlineStr">
        <is>
          <t>Nova Guinea 8(1): 249 (1910) | https://archive.org/details/novaguinearsul81lore</t>
        </is>
      </c>
      <c r="M7" s="5" t="inlineStr">
        <is>
          <t>image</t>
        </is>
      </c>
      <c r="N7" s="5" t="inlineStr">
        <is>
          <t>Massive pachycaul rhizomatous evergreen herb 3–4 m tall; rhizome dense, more or less without internodes, c. 40 cm thick with the leaf-base remains. Leaves several together; petioles stout, somewhat spreading, plain green, 1.3–2 m long and c. 12 cm thick towards the base, with crowded to scattered small prickles at the base and increasingly scattered prickles above, sheathing in the lower sixth or so, somewhat channelled above, filled with air cavities to 1 cm across, geniculate for several centimetres at the apex; blade ovate-sagittate, held more or less vertical with the posterior lobes down, somewhat irregularly wrinkled and bullate between the primary veins, to c. 2.25 m long by c. 1.2 m wide at the petiole insertion and somewhat wider behind it; anterior and posterior lobes about equal or the posterior somewhat longer; the costae massive, to 3 cm thick at the base, impressed above and very prominent beneath, the anterior costa with c. 10 robust primary lateral veins, the posterior costae diverging at 40–60° and naked in the sinus for c. 10 cm; posterior lobes with their outer sides overlapping each other; finer venation reticulate.⁶ Engler's description, from herbarium material, gave the petiole to 2.5 m, the coriaceous blade with the anterior lobe to about 75 by 70 cm and the posterior lobes to 1 m or more long, and Hay added that the blade and upper petiole are unarmed and the lower petiole armed with scattered straight spines.² ⁴</t>
        </is>
      </c>
      <c r="O7" s="5" t="inlineStr">
        <is>
          <t>Blooms solitary, but up to three or more in close succession, each separated by a foliage leaf; peduncle much shorter than the petioles, c. 50 cm long and 4.5 cm thick, unarmed or with a few scattered prickles, tinged brown, larger and plain green in fruit, inconspicuously geniculate near the apex. Spathe more or less canoe-shaped, erect, 35–50 cm long, convolute in the lower c. 8 cm, narrowed and acuminate in the upper third, greenish brown at the base and then burgundy-red to yellowish brown outside, cream to yellow with faintly purple-suffused streaks within. Spadix on a 2 cm stipe, stout, tapering-cylindric, 21–30 cm long and 4–5.5 cm thick below, blunt, dull brownish pink; florets bisexual, extremely numerous (over 2,000 to a spadix), rhomboid to hexagonal from above, c. 3 mm across; tepals 4–6, free, c. 3.5 mm long; stamens 4–6 with free filaments c. 1 mm long, the anthers partly exserted at male anthesis; pistil c. 4 mm, the stigma button-like and more or less sessile, the ovary unilocular with several ovules. Infructescence massive, deflected by the genicular zone near the top of the peduncle and accompanied by the marcescent spathe, the fruiting spadix 36–45 cm long and 9–11 cm thick; berries ellipsoid, c. 1.5 by 0.6 cm, their more or less pointed tips protruding from the tepals, dark green ripening yellow, with 1–5 seeds; seeds reniform, longitudinally crested, 5–6 mm long.⁶ Hay counted some 1,300 fruits on a preserved infructescence, by far the largest in the genus, and found the seeds crested like those of C. merkusii.⁴</t>
        </is>
      </c>
      <c r="P7" s="5" t="inlineStr"/>
      <c r="Q7" s="6" t="inlineStr">
        <is>
          <t>SUBUNITS (within recorded native range):
Papua, Indonesia (1)
NOT IN THE RECORDED NATIVE RANGE (verify before any tag):
West, Singapore (1)
Yogyakarta, Indonesia (1)</t>
        </is>
      </c>
      <c r="R7" s="5" t="inlineStr">
        <is>
          <t>Open swampy areas with scattered sago palms (Metroxylon) and Campnosperma, and disturbed swamp forest with Campnosperma, Nauclea and Pandanus, at very low elevation, 10–15 m.⁵ ⁶</t>
        </is>
      </c>
      <c r="S7" s="5" t="inlineStr">
        <is>
          <t>Latin giganteus, gigantic: the leaves and infructescence are the largest in the genus.</t>
        </is>
      </c>
      <c r="T7" s="5" t="inlineStr"/>
      <c r="U7" s="5" t="inlineStr">
        <is>
          <t>1. Its 4–6-merous flowers, pluriovulate ovary and multi-seeded berries are unique in Cyrtosperma and led Engler to ally it with the African Lasiomorpha senegalensis; the marcescent spathe, the geniculate petiole and peduncle and the free filaments place it in Cyrtosperma proper, and the exserted anthers and crested seeds put it, tentatively, in the Merkusii group.⁴ ⁶
2. Named by Engler in Engler &amp; Krause's account of the Araceae of the Lorentz expedition, from Versteeg's collections; the type locality's river has carried three names, Noord, Lorentz and Unir.² ⁶
3. Hay &amp; Imran (2020) gave the first illustrations of the living plant, photographed by Imran near Timika, with an updated description a hundred and ten years after the protologue. They set it beside C. cuspidispathum as one of the two most gigantic New Guinea aroids, and in a note added in proof announced a third, C. timikense, described later in the same issue.⁶ ⁷
4. The ripe berries protrude from the tepals but are not expelled; the "anthuriocarp", in which the expelled fruits hang from the spadix by the stripped inner epidermis of the tepals, is known in the genus only in C. cuspidispathum and, from Imran's observations near Timika, in C. hambalii.⁶
5. Now in cultivation: iNaturalist records from 2025 and 2026 include garden plants.³</t>
        </is>
      </c>
      <c r="V7" s="7" t="inlineStr"/>
      <c r="W7" s="7" t="inlineStr"/>
      <c r="X7" s="7" t="inlineStr">
        <is>
          <t>iNaturalist: Cyrtosperma giganteum | https://www.inaturalist.org/taxa/937778
Hay, A. 1988. Cyrtosperma (Araceae) and its Old World allies. Blumea 33: 427–469 | https://repository.naturalis.nl/pub/526134
Hay, A. &amp; Imran. 2020. Cyrtosperma giganteum Engl. (Araceae–Lasioideae) found again in Papua Province, Indonesia. Aroideana 43(3–4): 4–11.
Hay, A. &amp; Imran. 2020. A third enormous New Guinea lasioid — Cyrtosperma timikense, a new species from southern Papua Province, Indonesia. Aroideana 43(3–4): 97–107.
Engler, A. 1911. Araceae-Lasioideae. Das Pflanzenreich IV.23C: 17 | https://archive.org/details/daspflanzenreich48engluoft</t>
        </is>
      </c>
      <c r="Y7" s="5" t="inlineStr"/>
      <c r="Z7" s="7" t="inlineStr">
        <is>
          <t>https://powo.science.kew.org/taxon/urn%3Alsid%3Aipni.org%3Anames%3A86818-1</t>
        </is>
      </c>
    </row>
    <row r="8" ht="26.25" customHeight="1">
      <c r="A8" s="4" t="inlineStr"/>
      <c r="B8" s="4" t="inlineStr">
        <is>
          <t>Cyrtosperma gressittiorum</t>
        </is>
      </c>
      <c r="C8" s="4" t="inlineStr"/>
      <c r="D8" s="4" t="inlineStr"/>
      <c r="E8" s="4" t="inlineStr"/>
      <c r="F8" s="4" t="inlineStr"/>
      <c r="G8" s="4" t="inlineStr">
        <is>
          <t>New Guinea</t>
        </is>
      </c>
      <c r="H8" s="4" t="inlineStr"/>
      <c r="I8" s="4">
        <f>left(RIGHT(J8,5),4)</f>
        <v/>
      </c>
      <c r="J8" s="4" t="inlineStr">
        <is>
          <t>Blumea 33(2): 439 (1988)</t>
        </is>
      </c>
      <c r="K8" s="4" t="inlineStr">
        <is>
          <t>Y</t>
        </is>
      </c>
      <c r="L8" s="5" t="inlineStr">
        <is>
          <t>Blumea 33: 439 (1988) | https://repository.naturalis.nl/pub/526134</t>
        </is>
      </c>
      <c r="M8" s="5" t="inlineStr">
        <is>
          <t>image</t>
        </is>
      </c>
      <c r="N8" s="5" t="inlineStr">
        <is>
          <t>Herb to 70 cm tall. Petiole to 60 cm long, the sheath papery and c. 15 cm long, the spines sparse, straight, needle-like, to 3 mm long; petiole variegated green and white. Blade hastate-sagittate, sparsely armed below, c. 30 cm long; anterior lobe subequalling the posterior ones; posterior lobes slender, to 6 cm wide, their midribs naked in the sinus for c. 3 cm, the lesser venation somewhat prominent below; costae of the anterior lobe arising near the sinus, curvinerved, running to the margin near the tip.²</t>
        </is>
      </c>
      <c r="O8" s="5" t="inlineStr">
        <is>
          <t>Peduncle similar to but exceeding the petiole, to 90 cm long. Spathe lanceolate, c. 7 cm long, hood-forming in the upper quarter, green, the major venation parallel and distant, the secondary venation reticulate; spadix orange, 4 cm long, with a 5 mm stipe adnate to the spathe. Flowers tetramerous; anthers exserted from the tepals at male anthesis and apparently retracting afterwards; stigmas hardly exceeding the tepals; ovule solitary. Fruit and seed unknown.²</t>
        </is>
      </c>
      <c r="P8" s="5" t="inlineStr"/>
      <c r="Q8" s="6" t="inlineStr"/>
      <c r="R8" s="5" t="inlineStr">
        <is>
          <t>Ridge-crest rainforest at 150 m.²</t>
        </is>
      </c>
      <c r="S8" s="5" t="inlineStr">
        <is>
          <t>Commemorates the entomologist and biogeographer J. Linsley Gressitt and his wife Margaret, who died together in an air crash in China in April 1982; it was through Gressitt, at the Wau Ecology Institute, that Hay was first introduced to tropical vegetation. Hay spelt the epithet gressittorum; POWO and the World Checklist correct it to gressittiorum, the genitive plural for two people, and IPNI keeps the original spelling.² ¹</t>
        </is>
      </c>
      <c r="T8" s="5" t="inlineStr"/>
      <c r="U8" s="5" t="inlineStr">
        <is>
          <t>1. The hooded (cucullate) spathe is unique in the genus, and the only species with a green spathe and an orange spadix.²
2. The second Louisiade endemic, with C. brassii of Rossel Island; both are tetramerous members of the Merkusii group.²
3. Still known from the one collection of 1956 as far as the sources consulted show.⁴ ⚠</t>
        </is>
      </c>
      <c r="V8" s="7" t="inlineStr"/>
      <c r="W8" s="7" t="inlineStr"/>
      <c r="X8" s="7" t="inlineStr">
        <is>
          <t>iNaturalist: Cyrtosperma gressittiorum | https://www.inaturalist.org/taxa/937777</t>
        </is>
      </c>
      <c r="Y8" s="5" t="inlineStr"/>
      <c r="Z8" s="7" t="inlineStr">
        <is>
          <t>https://powo.science.kew.org/taxon/urn%3Alsid%3Aipni.org%3Anames%3A935714-1</t>
        </is>
      </c>
    </row>
    <row r="9" ht="26.25" customHeight="1">
      <c r="A9" s="4" t="inlineStr"/>
      <c r="B9" s="4" t="inlineStr">
        <is>
          <t>Cyrtosperma hambalii</t>
        </is>
      </c>
      <c r="C9" s="4" t="inlineStr"/>
      <c r="D9" s="4" t="inlineStr"/>
      <c r="E9" s="4" t="inlineStr"/>
      <c r="F9" s="4" t="inlineStr"/>
      <c r="G9" s="4" t="inlineStr">
        <is>
          <t>New Guinea</t>
        </is>
      </c>
      <c r="H9" s="4" t="inlineStr"/>
      <c r="I9" s="4">
        <f>left(RIGHT(J9,5),4)</f>
        <v/>
      </c>
      <c r="J9" s="4" t="inlineStr">
        <is>
          <t>Aroideana 24: 102 (2001)</t>
        </is>
      </c>
      <c r="K9" s="4" t="inlineStr">
        <is>
          <t>Y</t>
        </is>
      </c>
      <c r="L9" s="5" t="inlineStr">
        <is>
          <t>Aroideana 24: 102–104 (2001) | https://www.aroid.org/resources/Publications/Aroideana/Aroideana24.pdf</t>
        </is>
      </c>
      <c r="M9" s="5" t="inlineStr">
        <is>
          <t>Rhizomatous herb to c. 1 m tall. Stem condensed, subterranean. Leaves c. 4 bunched together; petiole erect, short, about half the length of the blade, c. 17 cm long, geniculate in the apical 1 cm, unarmed, dark olive brown at the base, mid green at the apex and olive green mottled olive brown between, sheathing in the lower third; blade sagittate, held with the posterior lobes erect and the anterior lobe pointing obliquely down, c. 32 cm long; anterior lobe much shorter than the posterior, narrowly triangular, 8 cm long and c. 2.5 cm wide where it meets the posterior lobes; posterior lobes rather narrowly elliptic, c. 23 by 7 cm, acuminate for 2 cm; costae very prominent beneath and impressed above, the anterior costa without primary veins and running sharply to the leaf tip, the posterior costae naked in the sinus for 5–8 mm with 5 or 6 primary lateral veins on each side diverging at c. 30°; finer venation a loose reticulum. Inflorescence solitary; peduncle much exceeding the petioles, 47 cm long, armed with scattered straight prickles, increasingly concentrated upwards, only in the distal 12 cm. Spathe erect, unarmed, with a prominent central ridge on the back, very long and slender, 53 cm long and 2.2 cm wide level with the spadix, then tapering, convolute at the base, the margins close together above, dark greenish brown with eight green vertical stripes outside and blackish within. Spadix much shorter than the spathe, cylindric, blunt, 6 by 0.8 cm, sessile; flowers hexamerous, c. 1.5 mm across; anthers exserted from the tepals at male anthesis. Fruit unknown.²</t>
        </is>
      </c>
      <c r="N9" s="5" t="inlineStr">
        <is>
          <t>A rhizomatous herb to about 1 m tall with a condensed underground stem and about four leaves bunched together. The petiole is unusually short, about half the length of the blade (c. 17 cm), unarmed, mottled olive, sheathing in its lower third and geniculate at the tip. The blade is sagittate, c. 32 cm long, and is held with the two narrowly elliptic posterior lobes (c. 23 by 7 cm) pointing up and the much reduced, narrowly triangular anterior lobe (8 by 2.5 cm) pointing obliquely down, which gives the plant its "rabbit's ears" look.² Plants near Timika have since been seen with ripe berries expelled from the florets and hanging on the spadix, the "anthuriocarp" otherwise known in the genus only in C. cuspidispathum.⁷</t>
        </is>
      </c>
      <c r="O9" s="5" t="inlineStr">
        <is>
          <t>Inflorescence solitary, held high above the leaves on a peduncle 47 cm long that is prickly only in its distal 12 cm. Spathe perfectly erect, very long and slender, 53 cm long and 2.2 cm wide at the level of the spadix, tapering above, convolute at the base, with a prominent central ridge on the back, dark greenish brown with eight green stripes outside and blackish inside. Spadix sessile, cylindric, blunt, only 6 by 0.8 cm; flowers hexamerous, c. 1.5 mm across, the anthers exserted from the tepals at male anthesis. Fruit unknown in 2001;² berries have since been seen on plants near Timika.⁷</t>
        </is>
      </c>
      <c r="P9" s="5" t="inlineStr">
        <is>
          <t>Indonesia: West Papua</t>
        </is>
      </c>
      <c r="Q9" s="6" t="inlineStr">
        <is>
          <t>SUBUNITS (within recorded native range):
Papua Barat, Indonesia (4)
Papua, Indonesia (2)</t>
        </is>
      </c>
      <c r="R9" s="5" t="inlineStr">
        <is>
          <t>Habitat not recorded in the protologue;² the iNaturalist records are lowland, from the swampy coastal plain around Timika and from Sorong.³</t>
        </is>
      </c>
      <c r="S9" s="5" t="inlineStr">
        <is>
          <t>Named for Gregory G. Hambali, whose collecting in West Papua produced the species, in acknowledgement of his long and expert contribution to Indonesian botany and horticulture and of his part in the rediscovery of the closely related Lasia concinna.²</t>
        </is>
      </c>
      <c r="T9" s="5" t="inlineStr"/>
      <c r="U9" s="5" t="inlineStr">
        <is>
          <t>1. Closest to the rheophytic C. beccarianum in leaf shape, from which it differs in the short petioles, the extremely elongate dark greenish brown spathe (ovate, wide open and generally white in C. beccarianum), the hexamerous flowers (tetramerous there) and the exserted stamens (not exserted there). The very long spathe recalls C. cuspidispathum, a far larger plant whose spathe is reflexed to dangling in its distal part, whose stamens are not exserted, whose leaves have well-developed anterior lobes with the posterior lobes held down, and whose petioles carry upturned prickles. In spathe colour and exserted stamens it recalls C. carrii of Central Province, which has extremely prickly leaves with well-developed anterior lobes and a squat, open spathe.²
2. The authors correct Hay's 1988 statement that the stamens of C. carrii are not exserted: it rested on limited herbarium material, and living plants show them exserted.² ⁶
3. The sheath reaching a third of the way up the petiole is unusual in the genus, though it may simply be that the rest of the petiole is foreshortened. The species keys out in Hay's 1988 key at a new couplet 3a, leaf blade with the anterior lobe much reduced and narrowly triangular and the posterior lobes erect; the genus then stood at twelve species.² ⁶
4. Hariri et al. (2024) compare their new C. prasinispathum with the Bogor plants that had carried this name and figure a leaf of C. hambalii beside it (their Fig. 1J).⁵
5. Six wild observations on iNaturalist, four of them research grade, are the best photographs of the species available to the build; the protologue's two figures show the flowering plant and the inflorescence.² ³</t>
        </is>
      </c>
      <c r="V9" s="7" t="inlineStr"/>
      <c r="W9" s="7" t="inlineStr"/>
      <c r="X9" s="7" t="inlineStr">
        <is>
          <t>iNaturalist: Cyrtosperma hambalii | https://www.inaturalist.org/taxa/937776
Hariri, M.R. et al. 2024. Cyrtosperma prasinispathum: a new fascinating Aroid species from Papua, Indonesia. Webbia 79(2): 291–294 | https://doi.org/10.36253/jopt-16076
Hay, A. 1988. Cyrtosperma (Araceae) and its Old World allies. Blumea 33: 427–469 | https://repository.naturalis.nl/pub/526134
Hay, A. &amp; Imran. 2020. Cyrtosperma giganteum Engl. (Araceae–Lasioideae) found again in Papua Province, Indonesia. Aroideana 43(3–4): 4–11 (note added in proof).</t>
        </is>
      </c>
      <c r="Y9" s="5" t="inlineStr"/>
      <c r="Z9" s="7" t="inlineStr">
        <is>
          <t>https://powo.science.kew.org/taxon/urn%3Alsid%3Aipni.org%3Anames%3A20001020-1</t>
        </is>
      </c>
    </row>
    <row r="10" ht="26.25" customHeight="1">
      <c r="A10" s="4" t="inlineStr"/>
      <c r="B10" s="4" t="inlineStr">
        <is>
          <t>Cyrtosperma hayii</t>
        </is>
      </c>
      <c r="C10" s="4" t="inlineStr"/>
      <c r="D10" s="4" t="inlineStr"/>
      <c r="E10" s="4" t="inlineStr"/>
      <c r="F10" s="4" t="inlineStr"/>
      <c r="G10" s="4" t="inlineStr">
        <is>
          <t>New Guinea</t>
        </is>
      </c>
      <c r="H10" s="4" t="inlineStr"/>
      <c r="I10" s="4">
        <f>left(RIGHT(J10,5),4)</f>
        <v/>
      </c>
      <c r="J10" s="4" t="inlineStr">
        <is>
          <t>Phytotaxa 641(3): 235 (2024)</t>
        </is>
      </c>
      <c r="K10" s="4" t="inlineStr">
        <is>
          <t>N</t>
        </is>
      </c>
      <c r="L10" s="5" t="inlineStr">
        <is>
          <t>Phytotaxa 641(3): 235 (2024) | https://doi.org/10.11646/phytotaxa.641.3.6</t>
        </is>
      </c>
      <c r="M10" s="5" t="inlineStr"/>
      <c r="N10" s="5" t="inlineStr">
        <is>
          <t>⚠ To be taken from the protologue. The diagnostic character given in the title is downward-pointing spines, unique in the genus: in Hay's 1988 key spines mixed straight and down-turned characterise Podolasia, while Cyrtosperma has spines straight and up-turned or all up-turned, so this species breaks that distinction.² ⁴</t>
        </is>
      </c>
      <c r="O10" s="5" t="inlineStr">
        <is>
          <t>⚠ To be taken from the protologue. Placed by Hariri et al. (2024) in the Macrotum group, whose spathe is not convolute below and whose flowers are tetra-, penta- or hexamerous.⁵</t>
        </is>
      </c>
      <c r="P10" s="5" t="inlineStr"/>
      <c r="Q10" s="6" t="inlineStr">
        <is>
          <t>SUBUNITS (within recorded native range):
Papua Barat, Indonesia (1)</t>
        </is>
      </c>
      <c r="R10" s="5" t="inlineStr">
        <is>
          <t>⚠ To be taken from the protologue; lowland forest of the Sorong region.²</t>
        </is>
      </c>
      <c r="S10" s="5" t="inlineStr">
        <is>
          <t>For Alistair Hay, monographer of the genus and author of six of its species.</t>
        </is>
      </c>
      <c r="T10" s="5" t="inlineStr"/>
      <c r="U10" s="5" t="inlineStr">
        <is>
          <t>1. The fourth member of the Macrotum group, with C. macrotum, C. beccarianum and C. prasinispathum, and like the last described from the Sorong region of Southwest Papua in 2024.⁵
2. Cyrtosperma prasinispathum also carries some downward-pointing spines among mostly upward ones,⁵ so the character is a matter of degree between the two Sorong species.
3. A single wild iNaturalist observation from 2026 is the only photograph available to the build.³</t>
        </is>
      </c>
      <c r="V10" s="7" t="inlineStr"/>
      <c r="W10" s="7" t="inlineStr"/>
      <c r="X10" s="7" t="inlineStr">
        <is>
          <t>iNaturalist: Cyrtosperma hayii | https://www.inaturalist.org/taxa/1668883
Hay, A. 1988. Cyrtosperma (Araceae) and its Old World allies. Blumea 33: 427–469 | https://repository.naturalis.nl/pub/526134
Hariri, M.R. et al. 2024. Cyrtosperma prasinispathum: a new fascinating Aroid species from Papua, Indonesia. Webbia 79(2): 291–294 | https://doi.org/10.36253/jopt-16076</t>
        </is>
      </c>
      <c r="Y10" s="5" t="inlineStr"/>
      <c r="Z10" s="7" t="inlineStr">
        <is>
          <t>https://powo.science.kew.org/taxon/urn%3Alsid%3Aipni.org%3Anames%3A77338788-1</t>
        </is>
      </c>
    </row>
    <row r="11" ht="26.25" customHeight="1">
      <c r="A11" s="4" t="inlineStr"/>
      <c r="B11" s="4" t="inlineStr">
        <is>
          <t>Cyrtosperma johnstonii</t>
        </is>
      </c>
      <c r="C11" s="4" t="inlineStr">
        <is>
          <t>Alocasia johnstonii W.Bull ex T.Moore &amp; Mast., Gard. Chron. n.s. 5: 603 (1876)</t>
        </is>
      </c>
      <c r="D11" s="4" t="inlineStr"/>
      <c r="E11" s="4" t="inlineStr"/>
      <c r="F11" s="4" t="inlineStr"/>
      <c r="G11" s="4" t="inlineStr">
        <is>
          <t>Solomon Is.</t>
        </is>
      </c>
      <c r="H11" s="4" t="inlineStr"/>
      <c r="I11" s="4">
        <f>left(RIGHT(J11,5),4)</f>
        <v/>
      </c>
      <c r="J11" s="4" t="inlineStr">
        <is>
          <t>Gard. Chron. n.s., 18: 808 (1882)</t>
        </is>
      </c>
      <c r="K11" s="4" t="inlineStr">
        <is>
          <t>Y</t>
        </is>
      </c>
      <c r="L11" s="5" t="inlineStr">
        <is>
          <t>Gard. Chron. n.s., 18: 808 (1882) | https://archive.org/details/gardenerschronic18lond</t>
        </is>
      </c>
      <c r="M11" s="5" t="inlineStr">
        <is>
          <t>image</t>
        </is>
      </c>
      <c r="N11" s="5" t="inlineStr">
        <is>
          <t>Gigantic suckering herb to c. 3 m tall, usually with one crown strongly dominant but eventually forming a clump of large crowns. Leaves several together, hastate to sagittate; petioles to 2.5 m long, irregularly and obliquely mottled white, green, brown and pink, heavily armed with the spines coalescing into oblique combs; costae bright pink in young plants, later the blades blotched reddish brown beneath and the costae green to brown; posterior lobes somewhat exceeding the anterior, to c. 70 cm long.⁴ Bogor plants measured by Alderwerelt had petioles 125–250 cm long, the prickles partly scattered and partly in obliquely transverse lines forming spiny crests, and blades green with a red-brown margin and minute carmine dots beneath.⁷</t>
        </is>
      </c>
      <c r="O11" s="5" t="inlineStr">
        <is>
          <t>Peduncle similar to but shorter than the petioles. Spathe deeply and narrowly boat-shaped, 9 to c. 40 cm long, rather abruptly more deeply and narrowly concave in the upper portion, erect, dark purple outside, pale dirty yellowish green within; spadix 7–25 cm long, with a short free stipe, somewhat glaucous; flowers hexamerous; anthers exserted at male anthesis; ovary 1–2-ovulate. Fruit and seed were unknown to Hay in 1988;⁴ fruiting plants have since been photographed in the Singapore Botanic Gardens (February 2019) and at Tully in North Queensland: an immature fruiting spadix c. 15 cm long on a collapsed peduncle, with the almost black remnant of the spathe persisting, purple-black tepals between the berries, and the berries ripening from the tip of the spadix downwards and turning yellow.⁵</t>
        </is>
      </c>
      <c r="P11" s="5" t="inlineStr">
        <is>
          <t>Solomon Islands: Guadalcanal, Isabel, Western</t>
        </is>
      </c>
      <c r="Q11" s="6" t="inlineStr">
        <is>
          <t>SUBUNITS (within recorded native range):
Guadalcanal, Solomon Islands (3)
NOT IN THE RECORDED NATIVE RANGE (verify before any tag):
Queensland, Australia (3)
unknown (1)
LIKELY INTRODUCED (trans-continental — almost certainly cultivated/naturalized):
Agusan del Norte, Philippines (1)
Bangkok Metropolis, Thailand (2)
Brandenburg, Germany (1)
Bruxelles, Belgium (1)
Davao del Norte, Philippines (1)
Hawaii, United States (1)
Ibaraki, Japan (1)
Illinois, United States (1)
Jawa Barat, Indonesia (2)
Moscow City, Russia (1)
New York, United States (2)
North-East, Singapore (3)
Pulau Pinang, Malaysia (1)
Rio de Janeiro, Brazil (1)
Samut Prakan, Thailand (1)
West, Singapore (7)
Yogyakarta, Indonesia (1)
Zulia, Venezuela (1)</t>
        </is>
      </c>
      <c r="R11" s="5" t="inlineStr">
        <is>
          <t>Lowland. The two 2013 collections are from a streamside and from forest at very low elevation, and the Buka juvenile from open country.⁴ ⁵ In cultivation the plant thrives as a helophyte in submerged mud: at Bogor it grew far better as an emergent aquatic than as a terrestrial plant, with petioles alone reaching 2.5 m, and Hay doubts that it is a forest-understorey plant at all.⁵ ⁷</t>
        </is>
      </c>
      <c r="S11" s="5" t="inlineStr">
        <is>
          <t>Named by William Bull's nursery for a Johnston whose identity remains unknown: a search by Hay, David Mabberley and Lex Thomson in 2020 reached no conclusion.⁵ Masters printed the epithet "johnsoni" and Bull consistently "johnstoni", an orthographic error corrected to johnstonii under the Code, as Wittmack (1876) and Beccari (1885) already had it.⁵</t>
        </is>
      </c>
      <c r="T11" s="5" t="inlineStr"/>
      <c r="U11" s="5" t="inlineStr">
        <is>
          <t>1. Introduced to European cultivation by William Bull of King's Road, Chelsea, in 1875; exhibited as "Alocasia johnstoni" at the centenary exhibition of the Société Royale de Flore in Brussels in 1876, where Bull's new plants took the top gold medal, and again at Carlisle in 1877; first offered for sale in his catalogue of 1878; figured in colour by André in 1880, who suggested it might be a Lasia;⁸ and first flowered at the Compagnie Continentale d'Horticulture in Ghent in 1882, when Brown, who had suspected a Cyrtosperma from the leaves sent to Kew in 1878, received the bloom on 11 December and published the new combination twelve days later.² ⁵ Beccari's Cyrtosperma johnstonii of 1885 is an isonym.⁵ Brown published the species again with a plate and description in the Botanical Magazine in 1914, calling it the only Cyrtosperma then in cultivation.⁹
2. Phenotypically very variable with age and treatment: young plants show the brilliant pink costae, well-grown ones the dark blotching beneath, and an established clump carries the whole range of inflorescence sizes at once among crowns of different sizes.⁴
3. Diploid, 2n = 26.¹⁰ The inflorescences are protogynous and self-sterile, and plants bearing several at once fail to set seed, so Hay concluded in 1988 that the species is either sterile or physiologically self-sterile and that all cultivated plants are probably a single clone.⁴ In 2020 he showed that it does fruit, at Singapore and at Tully; that the diploid count rules out a sterile triploid, though not in principle a sterile diploid hybrid; and that its now-known wild occurrence makes sterility unlikely. Each bloom is mechanically self-incompatible, since pollen is shed only after all the stigmas have ceased to be receptive, and the rarity of fruit even where several blooms are open together suggests that the clonally identical cultivated plants are genetically self-incompatible as well.⁵
4. "Widely distributed in living botanical collections, but too slow growing to be of much commercial horticultural interest" was Hay's verdict in 1988;⁴ it is now a sought-after collectors' plant and most iNaturalist records are of cultivated specimens.³
5. A traditional medicine in Thailand; its flavonoid glycosides, rutin and isorhamnetin-3-O-rutinoside, and their hydrolysis products show antioxidant, antiproliferative and anti-inflammatory activity in vitro.¹¹
6. Hay (2020) counts at least three species in the Solomons archipelago, C. johnstonii, C. bougainvillense and C. merkusii, the last both as prickly wild plants and as gigantic, more or less unarmed edible forms, and two single-island endemics in the Louisiades, and expects more island endemics to turn up in the western Pacific.⁵</t>
        </is>
      </c>
      <c r="V11" s="7" t="inlineStr"/>
      <c r="W11" s="7" t="inlineStr"/>
      <c r="X11" s="7" t="inlineStr">
        <is>
          <t>iNaturalist: Cyrtosperma johnstonii | https://www.inaturalist.org/taxa/344195
Hay, A. 1988. Cyrtosperma (Araceae) and its Old World allies. Blumea 33: 427–469 | https://repository.naturalis.nl/pub/526134
Hay, A. 2020. Notes on the typification, origin, and fertility of Cyrtosperma johnstonii (Araceae–Lasioideae). Aroideana 43(3–4): 108–117.
Alderwerelt van Rosenburgh, C.R.W.K. van. 1920. New or noteworthy Malayan Araceae II. Bulletin du Jardin Botanique de Buitenzorg sér. 3, 1: 373 | https://archive.org/details/bulletindelinsti20kebu
André, E. 1880. Alocasia Johnstoni. L'Illustration Horticole 27: 133–134, Pl. CCCXCV | https://www.biodiversitylibrary.org/page/15949217
Brown, N.E. 1914. Cyrtosperma Johnstoni. Curtis's Botanical Magazine ser. 4, 10: t. 8567 | https://www.biodiversitylibrary.org/page/476776
Marchant, C.J. 1973. Chromosome variation in Araceae 5. Acoreae to Lasieae. Kew Bulletin 28: 199–210.
Naksuriya, O. et al. 2022. Hydrolyzed flavonoids from Cyrtosperma johnstonii with superior antioxidant, antiproliferative and anti-inflammatory activity. Molecules 27: 3226 | https://doi.org/10.3390/molecules27103226
[Moore, T. &amp; Masters, M.T.] 1876. The Brussels exhibition. Gardeners' Chronicle n.s. 5: 603 | https://archive.org/details/gardenerschronic51876lond</t>
        </is>
      </c>
      <c r="Y11" s="5" t="inlineStr"/>
      <c r="Z11" s="7" t="inlineStr">
        <is>
          <t>https://powo.science.kew.org/taxon/urn%3Alsid%3Aipni.org%3Anames%3A86822-1</t>
        </is>
      </c>
    </row>
    <row r="12" ht="26.25" customHeight="1">
      <c r="A12" s="4" t="inlineStr"/>
      <c r="B12" s="4" t="inlineStr">
        <is>
          <t>Cyrtosperma kokodense</t>
        </is>
      </c>
      <c r="C12" s="4" t="inlineStr"/>
      <c r="D12" s="4" t="inlineStr"/>
      <c r="E12" s="4" t="inlineStr"/>
      <c r="F12" s="4" t="inlineStr"/>
      <c r="G12" s="4" t="inlineStr">
        <is>
          <t>New Guinea</t>
        </is>
      </c>
      <c r="H12" s="4" t="inlineStr"/>
      <c r="I12" s="4">
        <f>left(RIGHT(J12,5),4)</f>
        <v/>
      </c>
      <c r="J12" s="4" t="inlineStr">
        <is>
          <t>Blumea 33(2): 447 (1988)</t>
        </is>
      </c>
      <c r="K12" s="4" t="inlineStr">
        <is>
          <t>Y</t>
        </is>
      </c>
      <c r="L12" s="5" t="inlineStr">
        <is>
          <t>Blumea 33: 447 (1988) | https://repository.naturalis.nl/pub/526134</t>
        </is>
      </c>
      <c r="M12" s="5" t="inlineStr">
        <is>
          <t>image</t>
        </is>
      </c>
      <c r="N12" s="5" t="inlineStr">
        <is>
          <t>Herb to 1.5 m tall. Blade markedly hastate to sagittate, c. 40–100 cm long in flowering plants; anterior lobe to 30 cm from tip to sinus; posterior lobes obliquely narrowly ovate, to c. 75 cm long, with rather fine and numerous costae diverging from the midribs at about 35 degrees. Petioles sometimes mottled; armature sparse, short, slender, to 4 mm long, straight to upcurved.²</t>
        </is>
      </c>
      <c r="O12" s="5" t="inlineStr">
        <is>
          <t>Spathe to 25 cm long, lanceolate, to 2.5 cm wide, in the lower 5 cm the margins clasping the spadix but not overlapping, deflected in the middle part, spirally twisted in the upper part, the tip not or hardly acuminate, the whole purple, paler within and with yellowish streaks; spadix stipitate for 1 cm, 4.5–5.5 cm long and c. 6 mm wide in flower, cylindrical. Flowers hexamerous; anthers not exceeding the tepals at male anthesis; stigmas brown when dried, papillate; ovary 1(–2)-ovulate. Ripe fruit and seed unknown; Hay expected the fruits to be expelled from the spadix as in C. cuspidispathum.²</t>
        </is>
      </c>
      <c r="P12" s="5" t="inlineStr">
        <is>
          <t>Papua New Guinea: Oro, Central</t>
        </is>
      </c>
      <c r="Q12" s="6" t="inlineStr"/>
      <c r="R12" s="5" t="inlineStr">
        <is>
          <t>Rainforest undergrowth and stream sides at around 400 m.²</t>
        </is>
      </c>
      <c r="S12" s="5" t="inlineStr">
        <is>
          <t>Of Kokoda, the type locality in Oro Province, at the northern end of the Kokoda Trail.</t>
        </is>
      </c>
      <c r="T12" s="5" t="inlineStr"/>
      <c r="U12" s="5" t="inlineStr">
        <is>
          <t>1. The second member of the Cuspidispathum group: stamens not exserted, spathe twisted above; it is the smaller plant with straight spines and an armed blade.²
2. Named from material gathered by C.E. Carr in 1936 and by Evelyn Cheesman, who also collected at Kokoda.²
3. ⚠ No photograph of a living plant was found; the Kokoda Trail is well walked and images may exist outside the sources searched.</t>
        </is>
      </c>
      <c r="V12" s="7" t="inlineStr"/>
      <c r="W12" s="7" t="inlineStr"/>
      <c r="X12" s="7" t="inlineStr">
        <is>
          <t>iNaturalist: Cyrtosperma kokodense | https://www.inaturalist.org/taxa/937775</t>
        </is>
      </c>
      <c r="Y12" s="5" t="inlineStr"/>
      <c r="Z12" s="7" t="inlineStr">
        <is>
          <t>https://powo.science.kew.org/taxon/urn%3Alsid%3Aipni.org%3Anames%3A935717-1</t>
        </is>
      </c>
    </row>
    <row r="13" ht="26.25" customHeight="1">
      <c r="A13" s="4" t="inlineStr"/>
      <c r="B13" s="4" t="inlineStr">
        <is>
          <t>Cyrtosperma macrotum</t>
        </is>
      </c>
      <c r="C13" s="4" t="inlineStr"/>
      <c r="D13" s="4" t="inlineStr">
        <is>
          <t>Cyrtosperma syapense Alderw., Bull. Jard. Bot. Buitenzorg sér. 3, 1: 374 (1920) (type a Bogor plant from Mount Syap, BO); Cyrtosperma subulispathum Alderw., l.c. 375 (type Versteeg 1108, Lorentz River, L); Cyrtosperma hastatum Alderw., l.c. 375 and Cyrtosperma consobrinum Alderw., l.c. 375, both placed here tentatively by Hay on their descriptions; Cyrtosperma janowskyi K.Krause, Nova Guinea 14: 216 (1924) (type Janowsky 489, Kurudu Island, L)</t>
        </is>
      </c>
      <c r="E13" s="4" t="inlineStr"/>
      <c r="F13" s="4" t="inlineStr"/>
      <c r="G13" s="4" t="inlineStr">
        <is>
          <t>New Guinea</t>
        </is>
      </c>
      <c r="H13" s="4" t="inlineStr"/>
      <c r="I13" s="4">
        <f>left(RIGHT(J13,5),4)</f>
        <v/>
      </c>
      <c r="J13" s="4" t="inlineStr">
        <is>
          <t>Bull. Reale Soc. Tosc. Ortic. 4: 295 (1879)</t>
        </is>
      </c>
      <c r="K13" s="4" t="inlineStr">
        <is>
          <t>N</t>
        </is>
      </c>
      <c r="L13" s="5" t="inlineStr">
        <is>
          <t>Bullettino della R. Società Toscana di Orticultura 4: 295 (1879)</t>
        </is>
      </c>
      <c r="M13" s="5" t="inlineStr"/>
      <c r="N13" s="5" t="inlineStr">
        <is>
          <t>Moderately robust herb to 1.3 m tall; rhizome plagiotropic or very short, to 6 cm in diameter. Leaves 3 to several, hastate to sagittate; petioles divergent from the base, prickly, mottled or not; blades to c. 90 cm long and c. 50 cm wide, usually less, held horizontally or with the posterior lobes down, more or less coriaceous, armed beneath, sometimes heavily, and sometimes on the margins, often with all the blades facing the same way; primary and secondary venation, sometimes very, prominent beneath; costae of the anterior lobe curvinerved to pinnately arranged; posterior lobes markedly exceeding the anterior, asymmetrically ovate to broadly lanceolate, naked in the sinus for up to c. 5 cm.⁴</t>
        </is>
      </c>
      <c r="O13" s="5" t="inlineStr">
        <is>
          <t>Inflorescence solitary, occasionally two in succession, on peduncles similar to and slightly exceeding the petioles. Spathe narrowly lanceolate, to c. 15 cm long and 3 cm wide when flattened, occasionally spiny at the base and along the midline outside, white to yellowish green, brown or purple, its insertion shallowly cup-like or with the margins deflected or shortly decurrent on the peduncle; spadix c. 6–12 cm long and c. 5 mm wide in flower, pale yellow to green, free-stipitate, adnate-stipitate or sessile. Flowers hexamerous or tetramerous or mixed, then sometimes with some pentamerous; ovule solitary, more or less basal; anthers not exserted from the tepals at male anthesis. Fruit sessile, ovoid, orange; seed with a smooth testa, campylotropous, asymmetrical in side view.⁴ The spadix turns to the horizontal as the fruit develops.⁴</t>
        </is>
      </c>
      <c r="P13" s="5" t="inlineStr">
        <is>
          <t>Papua New Guinea: Morobe, Milne Bay, Oro, Southern Highlands, Western, Madang
Indonesia: West Papua, Papua, Papua Selatan</t>
        </is>
      </c>
      <c r="Q13" s="6" t="inlineStr">
        <is>
          <t>SUBUNITS (within recorded native range):
Papua Barat, Indonesia (8)
Papua, Indonesia (1)
Western, Papua New Guinea (1)</t>
        </is>
      </c>
      <c r="R13" s="5" t="inlineStr">
        <is>
          <t>Lowland swamp forest, lowland rainforest and lower montane forest; 7–1,100 m, mostly below 200 m.⁴ ⁶</t>
        </is>
      </c>
      <c r="S13" s="5" t="inlineStr">
        <is>
          <t>From the Greek makros, long, and ous, otos, ear: the long posterior lobes of the leaf, the "ears" of a sagittate blade. Beccari's name was published as macrota.</t>
        </is>
      </c>
      <c r="T13" s="5" t="inlineStr"/>
      <c r="U13" s="5" t="inlineStr">
        <is>
          <t>1. Highly variable, with complex patterns. Morobe and Madang plants have coriaceous leaves, free-stipitate spadices, hexamerous flowers and a cup-like spathe base; Milne Bay plants have more membranous leaves, spadices with the stipe adnate to the spathe, at least some tetramerous flowers and a spathe shortly decurrent on the peduncle. In the western and southern populations these characters vary independently, so Hay declined to recognise the two eastern entities formally and suggested they are relics of a once continuous lowland species fragmented by Pleistocene drying.⁴
2. The name has a tangled history. Engler published it from Beccari's manuscript in a Florentine horticultural bulletin; Beccari's Batanta plant, cited with it, proved to be a different species; and Alderwerelt's C. hastatum was described with confused citations of von Römer's numbers that Hay could not reconcile.⁴
3. Alderwerelt's C. syapense, described from a young Bogor plant that flowered and fruited in January 1919, had a petiole 25–50 cm long, copiously but not densely prickly and dark green with irregular transverse streaks below, a spathe 10–12 by 3–3.5 cm, pale dirty yellow inside with pale green veins, a yellowish spadix 5–7.5 cm long, tetramerous flowers, and obovoid berries red below and green above.⁷
4. Cyrtosperma prasinispathum was separated from this species in 2024 on its unarmed leaf underside, oblanceolate posterior lobes, elliptic anterior lobe, deflected spathe with an entire margin, leek-green spathe and consistently tetramerous flowers; the two share the Bird's Head region.⁸
5. Type material of C. subulispathum (Versteeg 1108) is imaged at Kew and of C. janowskyi (Janowsky 489) at Leiden.⁶</t>
        </is>
      </c>
      <c r="V13" s="7" t="inlineStr"/>
      <c r="W13" s="7" t="inlineStr"/>
      <c r="X13" s="7" t="inlineStr">
        <is>
          <t>iNaturalist: Cyrtosperma macrotum | https://www.inaturalist.org/taxa/937774
Hay, A. 1988. Cyrtosperma (Araceae) and its Old World allies. Blumea 33: 427–469 | https://repository.naturalis.nl/pub/526134
Beccari, O. 1882. Malesia 1: 279–280, Tav. XXIV; 303 | https://archive.org/details/malesiaracco118771883becc
Alderwerelt van Rosenburgh, C.R.W.K. van. 1920. New or noteworthy Malayan Araceae II. Bulletin du Jardin Botanique de Buitenzorg sér. 3, 1: 374–375 | https://archive.org/details/bulletindelinsti20kebu
Hariri, M.R., Irsyam, A.S.D., Ariati, S.R., Raynalta, E., Setyanti, D. &amp; Supriyatna, I. 2024. Cyrtosperma prasinispathum: a new fascinating Aroid species from Papua, Indonesia. Webbia 79(2): 291–294 | https://doi.org/10.36253/jopt-16076
Engler, A. 1910. Araceae. Nova Guinea 8(1): 249 | https://archive.org/details/novaguinearsul81lore
Engler, A. 1911. Araceae-Lasioideae. Das Pflanzenreich IV.23C: 22 | https://archive.org/details/daspflanzenreich48engluoft</t>
        </is>
      </c>
      <c r="Y13" s="5" t="inlineStr"/>
      <c r="Z13" s="7" t="inlineStr">
        <is>
          <t>https://powo.science.kew.org/taxon/urn%3Alsid%3Aipni.org%3Anames%3A86824-1</t>
        </is>
      </c>
    </row>
    <row r="14" ht="26.25" customHeight="1">
      <c r="A14" s="4" t="inlineStr"/>
      <c r="B14" s="4" t="inlineStr">
        <is>
          <t>Cyrtosperma merkusii</t>
        </is>
      </c>
      <c r="C14" s="4" t="inlineStr">
        <is>
          <t>Lasia merkusii Hassk., Cat. Hort. Bot. Bogor. alter: 59 (1844)</t>
        </is>
      </c>
      <c r="D14" s="4" t="inlineStr">
        <is>
          <t>Cyrtosperma lasioides Griff., Not. Pl. Asiat. 3: 150 (1851), the type species of the genus (type Griffith 5950, Malacca, K); Arisacontis chamissonis Schott, Bonplandia 5: 129 (1857) and Cyrtosperma chamissonis (Schott) Merr., Philipp. J. Sci. 9C: 65 (1914), the name long used for the Pacific crop (type Chamisso 54, W); Cyrtosperma edule Schott, Bonplandia 9: 367 (1861) (type Seemann 653, Fiji, BM; K, GH); Cyrtosperma cuspidilobum Schott, C. dubium Schott and C. intermedium Schott, Ann. Mus. Bot. Lugd.-Bat. 1: 284 (1864) (types Korthals s.n., Borneo and Sumatra, L), the last also as C. merkusii var. intermedium (Schott) Engl. (1879); Cyrtosperma ferox L.Linden &amp; N.E.Br., Ill. Hort. 39: 59, t. 153 (1892) (type a Kew plant from Borneo, K); Cyrtosperma merkusii var. giganteum Nadeaud, J. Bot. (Morot) 11: 116 (1897) (type Tahiti, Hitiaa, P); Cyrtosperma bantamense Koord., Bull. Jard. Bot. Buitenzorg sér. 3, 1: 160 (1919), nom. subnud. (lectotype Koorders 41645, Bantam, BO); Cyrtosperma nadeaudianum J.W.Moore, Bishop Mus. Bull. 102: 22 (1933) (type Nadeaud s.n., Raiatea, P)</t>
        </is>
      </c>
      <c r="E14" s="4" t="inlineStr"/>
      <c r="F14" s="4" t="inlineStr"/>
      <c r="G14" s="4" t="inlineStr">
        <is>
          <t>Borneo, Caroline Is., Cook Islands, Fiji, Gilbert Is., Java, Marshall Is., New Guinea, Peninsular Malaysia, Philippines, Samoa, Santa Cruz Is., Society Islands, Solomon Is., Sumatra, Vanuatu</t>
        </is>
      </c>
      <c r="H14" s="4" t="inlineStr"/>
      <c r="I14" s="4">
        <f>left(RIGHT(J14,5),4)</f>
        <v/>
      </c>
      <c r="J14" s="4" t="inlineStr">
        <is>
          <t>Oesterr. Bot. Wochenbl. 7: 61 (1857)</t>
        </is>
      </c>
      <c r="K14" s="4" t="inlineStr">
        <is>
          <t>Y</t>
        </is>
      </c>
      <c r="L14" s="5" t="inlineStr">
        <is>
          <t>Oesterreichisches Botanisches Wochenblatt 7: 61 (1857) | https://www.biodiversitylibrary.org/page/29952872</t>
        </is>
      </c>
      <c r="M14" s="5" t="inlineStr">
        <is>
          <t>image</t>
        </is>
      </c>
      <c r="N14" s="5" t="inlineStr">
        <is>
          <t>Robust to gigantic herb to 4 m tall. Rhizome short and slender to very large, sometimes globose and weighing up to 70 kg, weakly to freely suckering. Leaves several, sagittate, rarely hastate; petioles c. 40 cm to c. 3 m long, heavily armed, often very heavily with stout conical spines towards the base, to unarmed in cultivated forms; blade c. 30 cm to 1.3 m long and to c. 80 cm wide, armed or not beneath, held more or less horizontally to vertically with the posterior lobes down; posterior lobes somewhat exceeding the anterior; primary venation of the anterior lobe curvinerved in small plants to pinnate in large ones; posterior midribs naked in the sinus for c. 5 cm.⁴</t>
        </is>
      </c>
      <c r="O14" s="5" t="inlineStr">
        <is>
          <t>Inflorescence solitary on a peduncle similar to but usually shorter than the petioles, like them with a geniculus at the top that turns blackish on drying. Spathe very variable in size, colour and shape, 2.5 to c. 30 cm long, white, yellow, green or purple, the pale ones usually with purplish streaks outside, rolled back to deflexed to erect with increasing size, the erect ones somewhat constricted above the level of the spadix apex; spadix 2–24 cm long, equalling or exceeding half the length of the spathe, sessile to stipitate, the stipe free or adnate to the spathe. Flowers hexamerous; ovary 1–2-ovulate; stamens exserted from the tepals at male anthesis. Fruit reddish orange, sessile, 1(–2)-seeded. Seed campylotropous, almost circular in profile to shallowly kidney-shaped, 5–11 mm long, brown, with about three raised, warty longitudinal crests to sparsely and irregularly warty and faintly crested.⁴</t>
        </is>
      </c>
      <c r="P14" s="5" t="inlineStr">
        <is>
          <t>Micronesia: Yap, Truk, Pohnpei, Kosrae, U Municipality, Chuuk
Indonesia: Java, Sumatra, Jambi, North Sumatra, Kalimantan Barat, Papua
Malaysia: Sarawak, Johor, Perak, Pahang, Selangor, Kuala Lumpur, Pinang
Philippines: Luzon, Sorsogon, Eastern Visayas, Mimaropa, Samar, Bataan, Bicolandia, Bohol, Compostela Valley, Palawan
Singapore: North, Central
Palau: Belau Outliers, Airai, Koror, Ngeremlengui
Papua New Guinea: Morobe, Manus
Solomon Islands: Solomon Islands
French Polynesia: Society Islands, Raiatea, Tahiti
Cook Islands: Penrhyn
Kiribati: Onotoa
Vanuatu: Taféa</t>
        </is>
      </c>
      <c r="Q14" s="6" t="inlineStr">
        <is>
          <t>SUBUNITS (within recorded native range):
Aimeliik, Palau (1)
Bataan, Philippines (1)
Bohol, Philippines (3)
Central, Singapore (2)
Compostela Valley, Philippines (3)
Davao del Sur, Philippines (1)
East, Singapore (1)
Jambi, Indonesia (4)
Jawa Barat, Indonesia (2)
Johor, Malaysia (1)
Kalimantan Barat, Indonesia (2)
Kalimantan Tengah, Indonesia (1)
Kiribati (1)
Kosrae, Micronesia (3)
Kuala Lumpur, Malaysia (4)
North-East, Singapore (6)
Pahang, Malaysia (1)
Palawan, Philippines (1)
Papua, Indonesia (2)
Pohnpei, Micronesia (25)
Pulau Pinang, Malaysia (1)
Putrajaya, Malaysia (2)
Rarotonga, Cook Islands (1)
Riau, Indonesia (2)
Sarawak, Malaysia (6)
Selangor, Malaysia (8)
Sulawesi Utara, Indonesia (1)
West, Singapore (11)
Yap, Micronesia (1)
Yogyakarta, Indonesia (1)
Îles Sous-le-Vent, French Polynesia (1)
Îles du Vent, French Polynesia (2)
NOT IN THE RECORDED NATIVE RANGE (verify before any tag):
Queensland, Australia (1)
Saipan, Northern Mariana Islands (1)
unknown (3)
LIKELY INTRODUCED (trans-continental — almost certainly cultivated/naturalized):
Carauari/AM (1)
Rio de Janeiro, Brazil (1)
Virginia, United States (1)</t>
        </is>
      </c>
      <c r="R14" s="5" t="inlineStr">
        <is>
          <t>Lowland swamp forest, open swamps and cultivation, mostly near sea level; in cultivation dug pits and taro swamps on atolls and high islands.⁴ Herbarium records range from sea level to about 1,800 m, with a median near 10 m.⁵</t>
        </is>
      </c>
      <c r="S14" s="5" t="inlineStr">
        <is>
          <t>Hasskarl's epithet honours Pieter Merkus (1787–1844), Governor-General of the Dutch East Indies when the Bogor garden was catalogued; the 1844 entry itself carries no dedication. Griffith's lasioides means Lasia-like, after the genus in which Hasskarl had placed the plant. The generic name is from the Greek kyrtos, curved, and sperma, seed, for the strongly curved seed, as Schott spelt out in 1858.⁸</t>
        </is>
      </c>
      <c r="T14" s="5" t="inlineStr"/>
      <c r="U14" s="5" t="inlineStr">
        <is>
          <t>1. The giant swamp taro of the Pacific: babai in Kiribati, pulaka in Tuvalu, baba on Guam,⁹ ape veo on Raiatea,¹⁰ daluga in the Sangihe islands,⁷ sampi gede in Sundanese Java.¹¹ Grown for its enormous corm, in the past a staple of atolls where little else will grow; Hay judged it a crop becoming obsolete in favour of Colocasia and Xanthosoma, but one whose origin, variation and development deserve inquiry as an early Melanesian and Polynesian crop.⁴
2. The species as Hay circumscribed it covers a wide range of form. Spathe poise follows its size relative to the spadix: a small spathe is stretched during expansion and deflected, a large one stands erect. Wild plants are heavily armed throughout the range; the unarmed, massive forms are cultivated selections, whose seeds are larger, less ornamented and less curved and whose fruit set is lower. None of these characters correlates with another well enough to separate wild from cultivated plants formally.⁴
3. Where it was domesticated is unresolved. Either the species has a natural range split between West Malesia and Papuasia, like its closest relatives on Bougainville, the Louisiades and the Lorentz River, and was taken into cultivation in the Solomons or the west or both; or the seemingly wild plants of the Solomons are relics of the earliest, still spiny, introductions from the west, such as are grown in the Trobriands and on Manus.⁴
4. Nicolson suggested the cultivars be surveyed for polyploidy; Hay found the chromosome and stem-morphology data too scant to settle it.⁴ Genetic work has since begun in North Sulawesi.⁷
5. Koorders could find no authentic material of Lasia merkusii at Bogor in 1919 and matched his Bantam plant to it on Hasskarl's description and the shared Sundanese name Sampi; his manuscript name bantamensis appears only in a footnote.¹¹
6. Engler's Pflanzenreich account of C. merkusii and C. edule mixed in New Guinea material that belongs to C. cuspidispathum and C. macrotum, and his fig. 6, captioned C. edule, is C. cuspidispathum.⁴
7. In cultivation the plant is the one Cyrtosperma most often seen, in botanic gardens and among growers, and the giant unarmed forms exceed 3 m.</t>
        </is>
      </c>
      <c r="V14" s="7" t="inlineStr"/>
      <c r="W14" s="7" t="inlineStr"/>
      <c r="X14" s="7" t="inlineStr">
        <is>
          <t>iNaturalist: Cyrtosperma merkusii | https://www.inaturalist.org/taxa/210278
Hay, A. 1988. Cyrtosperma (Araceae) and its Old World allies. Blumea 33: 427–469 | https://repository.naturalis.nl/pub/526134
Athens, J.S. &amp; Stevenson, J. 2011. Pohnpei coring records: the natural distribution of Cyrtosperma chamissonis. Journal of Pacific Archaeology 2(1) | https://doi.org/10.70460/jpa.v3i1.75
Erlinawati, I., Abinawanto, Salamah, A. &amp; Rugayah. 2018. Genetic diversity analysis of daluga (Cyrtosperma merkusii) using SRAP in Siau, Sangihe and Talaud Islands, North Sulawesi, Indonesia. Biodiversitas 19: 2374–2380 | https://doi.org/10.13057/biodiv/d190648
Schott, H.W. 1858. Genera Aroidearum: 84, t. 84. Vienna | https://archive.org/details/mobot31753000312444
Merrill, E.D. 1914. An enumeration of the plants of Guam. Philippine Journal of Science 9C: 65 | https://archive.org/details/philippinejourn91914phil
Moore, J.W. 1933. New and critical plants from Raiatea. Bernice P. Bishop Museum Bulletin 102: 22 | https://hbs.bishopmuseum.org/pubs-online/pdf/bull102.pdf
Koorders, S.H. 1919. Notiz über Cyrtosperma Merkusii. Bulletin du Jardin Botanique de Buitenzorg sér. 3, 1: 159–161 | https://archive.org/details/bulletindelinsti20kebu
Hasskarl, J.K. 1844. Catalogus plantarum in Horto botanico Bogoriensi cultarum alter: 59 | https://archive.org/details/catalogusplantar00hass
Griffith, W. 1851. Notulae ad Plantas Asiaticas 3: 149–150; Icones Plantarum Asiaticarum 3: t. 169 — Cyrtosperma and C. lasioides | https://archive.org/details/posthumouspapers03griff
Nadeaud, J. 1897. Sur quelques plantes rares de Tahiti. Journal de Botanique (Morot) 11: 116–118 — var. gigantea | https://www.biodiversitylibrary.org/page/8178154
Linden, L. &amp; Brown, N.E. 1892. Cyrtosperma ferox. L'Illustration Horticole 39: 59–60, Pl. CLIII | https://www.biodiversitylibrary.org/page/15253128
Ridley, H.N. 1925. The Flora of the Malay Peninsula 5: 126–127, fig. 216 | https://www.biodiversitylibrary.org/page/56633067
Engler, A. 1911. Araceae-Lasioideae. Das Pflanzenreich IV.23C: 17–21 | https://archive.org/details/daspflanzenreich48engluoft</t>
        </is>
      </c>
      <c r="Y14" s="5" t="inlineStr"/>
      <c r="Z14" s="7" t="inlineStr">
        <is>
          <t>https://powo.science.kew.org/taxon/urn%3Alsid%3Aipni.org%3Anames%3A86826-1</t>
        </is>
      </c>
    </row>
    <row r="15" ht="26.25" customHeight="1">
      <c r="A15" s="4" t="inlineStr"/>
      <c r="B15" s="4" t="inlineStr">
        <is>
          <t>Cyrtosperma prasinispathum</t>
        </is>
      </c>
      <c r="C15" s="4" t="inlineStr"/>
      <c r="D15" s="4" t="inlineStr"/>
      <c r="E15" s="4" t="inlineStr"/>
      <c r="F15" s="4" t="inlineStr"/>
      <c r="G15" s="4" t="inlineStr">
        <is>
          <t>New Guinea</t>
        </is>
      </c>
      <c r="H15" s="4" t="inlineStr"/>
      <c r="I15" s="4">
        <f>left(RIGHT(J15,5),4)</f>
        <v/>
      </c>
      <c r="J15" s="4" t="inlineStr">
        <is>
          <t>J. Pl. Taxon. &amp; Geogr. (Webbia) 79(2): 292 (2024)</t>
        </is>
      </c>
      <c r="K15" s="4" t="inlineStr">
        <is>
          <t>Y</t>
        </is>
      </c>
      <c r="L15" s="5" t="inlineStr">
        <is>
          <t>J. Pl. Taxon. &amp; Geogr. (Webbia) 79(2): 292 (2024) | https://doi.org/10.36253/jopt-16076</t>
        </is>
      </c>
      <c r="M15" s="5" t="inlineStr">
        <is>
          <t>image</t>
        </is>
      </c>
      <c r="N15" s="5" t="inlineStr">
        <is>
          <t>Small herb 21–30 cm tall. Leaves about 5–9 per crown, clustered; sheath 2–4 cm long, brown; petiole slender, 5–25 cm long, brown with black patches, armed with straight, downward- and mostly upward-pointing spines 1–4 mm long, yellowish brown; blade sagittate-hastate, the anterior lobe elliptic, shorter than the posterior lobes, 3.5–12 by 2–6.2 cm, pointing downward, flat in juvenile leaves; posterior lobes oblanceolate, 4.2–17 by 2–5.5 cm, pointing downward, the sinus 60–80 degrees; upper surface dark green, lower surface glaucous.²</t>
        </is>
      </c>
      <c r="O15" s="5" t="inlineStr">
        <is>
          <t>Peduncle 50–73 cm long, brown with black patches, armed with minute straight, downward- and mostly upward-pointing spines 1–2 mm long. Spathe broadly open, lanceolate, deflected, 10.9–11.5 by 2.5–2.9 cm, leek-green. Spadix 35–45 by 6–7 mm, yellowish green turning yellow when mature; stipe 3–6 mm long, leek-green. Flowers bisexual, perigoniate; tepals 4, free, green turning yellow; stamens 4, free, the filaments flat and broad, the anthers c. 0.5 mm long, white, not exserted from the tepals at anthesis; pollen white; ovary one-locular, brown; stigma discoid, sessile, brown.²</t>
        </is>
      </c>
      <c r="P15" s="5" t="inlineStr"/>
      <c r="Q15" s="6" t="inlineStr"/>
      <c r="R15" s="5" t="inlineStr">
        <is>
          <t>Lowland forest of the Sorong nature reserve (Taman Wisata Alam Sorong) at 27 m; nothing more is recorded.²</t>
        </is>
      </c>
      <c r="S15" s="5" t="inlineStr">
        <is>
          <t>From the Latin prasinus, leek-green, and spathum, for the glossy leek-green spathe.²</t>
        </is>
      </c>
      <c r="T15" s="5" t="inlineStr"/>
      <c r="U15" s="5" t="inlineStr">
        <is>
          <t>1. The fourth member of the Macrotum group, with C. beccarianum, C. macrotum and C. hayii; the group has a spathe not convolute in its lower part and tetra-, penta- or hexamerous flowers.²
2. Described entirely from living cultivated plants; the authors propose Data Deficient for its conservation status and note that the striking spathe makes it "an important candidate for horticultural plants".²
3. The authors' Figure 1 shows the habit, the three kinds of spine tip on the petiole, the spathe from three angles, the spadix and immature flowers, and compares the leaf with those of C. macrotum and C. hambalii.²
4. With C. hayii it brings the genus to 15 species, 14 of them east of Wallace's Line.²</t>
        </is>
      </c>
      <c r="V15" s="7" t="inlineStr"/>
      <c r="W15" s="7" t="inlineStr"/>
      <c r="X15" s="7" t="inlineStr">
        <is>
          <t>Hay, A. 1988. Cyrtosperma (Araceae) and its Old World allies. Blumea 33: 427–469 | https://repository.naturalis.nl/pub/526134
Raynalta, E., Hariri, M.R. &amp; Irsyam, A.S.D. 2024. Cyrtosperma hayii. Phytotaxa 641(3): 235–237 | https://doi.org/10.11646/phytotaxa.641.3.6</t>
        </is>
      </c>
      <c r="Y15" s="5" t="inlineStr"/>
      <c r="Z15" s="7" t="inlineStr">
        <is>
          <t>https://powo.science.kew.org/taxon/urn%3Alsid%3Aipni.org%3Anames%3A77348339-1</t>
        </is>
      </c>
    </row>
    <row r="16" ht="26.25" customHeight="1">
      <c r="A16" s="4" t="inlineStr"/>
      <c r="B16" s="4" t="inlineStr">
        <is>
          <t>Cyrtosperma timikense</t>
        </is>
      </c>
      <c r="C16" s="4" t="inlineStr"/>
      <c r="D16" s="4" t="inlineStr"/>
      <c r="E16" s="4" t="inlineStr"/>
      <c r="F16" s="4" t="inlineStr"/>
      <c r="G16" s="4" t="inlineStr">
        <is>
          <t>New Guinea</t>
        </is>
      </c>
      <c r="H16" s="4" t="inlineStr"/>
      <c r="I16" s="4">
        <f>left(RIGHT(J16,5),4)</f>
        <v/>
      </c>
      <c r="J16" s="4" t="inlineStr">
        <is>
          <t>Aroideana 43(3-4): 97 (2020)</t>
        </is>
      </c>
      <c r="K16" s="4" t="inlineStr">
        <is>
          <t>Y</t>
        </is>
      </c>
      <c r="L16" s="5" t="inlineStr">
        <is>
          <t>Aroideana 43(3–4): 97–107 (2020) | https://www.aroid.org/resources/Publications/Aroideana/Aroideana43n3.pdf</t>
        </is>
      </c>
      <c r="M16" s="5" t="inlineStr">
        <is>
          <t>Massive, evergreen, strongly clump-forming herb to c. 3 m tall; stem a condensed subterranean rhizome 25–40 cm across including the leaf bases; leaves c. 8 per crown. Petioles held close together and vertical in the lower half and then weakly spreading, 2–2.5 m long, sheathing in the lower 30–40 cm with the wings of the sheath papery and then degrading to sparse fibres, dark grey-green densely and obliquely streaked buff in the lower half, bright green and somewhat angular in section above, sparsely armed with very small obliquely down-pointing prickles that follow the streaks below and become scattered and upturned above, conspicuously geniculate for c. 7 cm at the apex. Blades broadly triangular-sagittate, held with the anterior lobe up and the posterior lobes down, 1–1.5 m long, unarmed and rather small for the size of the plant; anterior lobe 40–50 cm long and 50–60 cm wide at the petiole insertion; posterior lobes 60–90 cm long; posterior costae diverging at c. 110° and naked in the sinus for c. 8 cm; anterior costa very prominent beneath, with about nine primary lateral veins on each side diverging at 60–70° and arching up to the margin, mostly with one or two secondary veins in the outer third of the blade; finer venation reticulate. Blooms solitary or up to three in succession; peduncles somewhat shorter than the petioles, 1.5–2.3 m long, densely armed throughout with small, mostly ungrouped, mostly upturned prickles like those of the petioles. Spathe to c. 80 cm long, somewhat convolute, green and slightly inflated in the basal 7–11 cm, giving the faint impression of a distinct lower spathe and limb, then narrowly canoe-shaped and very long-attenuate, dull purple with faint paler streaks within and slightly paler veins without, marcescent after anthesis and mostly disintegrated by fruiting. Spadix on a sparsely and minutely prickly stipe 2–3 cm long, tapering-cylindric, c. 20 cm long at female anthesis and enlarging to c. 26 cm during male anthesis; florets with six free tepals and six stamens, the anthers exserted from the tepals at male anthesis; pistil apparently unilocular and two-ovulate, the stigma discoid, sessile, almost as wide as the ovary. Infructescence at first erect, later deflected by pulvinar activity near the top of the peduncle, to c. 40 cm long; berries ripening red-orange, depressed-globose and weakly lobed with the darkened stigma remains at the top, apparently not expelled from the spadix, mostly two-seeded with one larger and one smaller (perhaps non-viable) seed; seeds reniform, ornamented with prominently lobed crests, c. 0.5 or c. 1 cm long.²</t>
        </is>
      </c>
      <c r="N16" s="5" t="inlineStr">
        <is>
          <t>A massive, evergreen, vigorously clump-forming herb to about 3 m tall, the base of a large clump forming a thicket of crowns, each of about eight leaves on a condensed underground rhizome 25–40 cm across. Petioles 2–2.5 m long, vertical and close together below and weakly spreading above, dark grey-green streaked buff in the lower half and bright green and somewhat angular above, sparsely armed with very small prickles and conspicuously geniculate at the apex; blades broadly triangular-sagittate, 1–1.5 m long, unarmed and rather small for the plant, held with the anterior lobe up and the posterior lobes down.²</t>
        </is>
      </c>
      <c r="O16" s="5" t="inlineStr">
        <is>
          <t>Blooms solitary or up to three in succession, on densely prickly peduncles 1.5–2.3 m long. Spathe to about 80 cm long, its green, slightly inflated, convolute base giving the faint impression of a distinct lower spathe, the rest narrowly canoe-shaped, dull purple, indistinctly streaked and drawn out into a very long, backward-arching tip. Spadix stipitate, tapering, 20–26 cm long; flowers hexamerous with the anthers exserted at male anthesis. Infructescence to c. 40 cm, deflected as it ripens; berries red-orange, depressed-globose, weakly lobed, apparently not expelled from the spadix, mostly two-seeded with one seed larger than the other; seeds reniform with prominently lobed crests.²</t>
        </is>
      </c>
      <c r="P16" s="5" t="inlineStr"/>
      <c r="Q16" s="6" t="inlineStr"/>
      <c r="R16" s="5" t="inlineStr">
        <is>
          <t>Open degraded swamp forest at about 8 m altitude.²</t>
        </is>
      </c>
      <c r="S16" s="5" t="inlineStr">
        <is>
          <t>For Timika, the capital of the Mimika Regency in Indonesian Papua, near which the species was found.²</t>
        </is>
      </c>
      <c r="T16" s="5" t="inlineStr"/>
      <c r="U16" s="5" t="inlineStr">
        <is>
          <t>1. The third of the enormous New Guinea cyrtospermas, with C. cuspidispathum and C. giganteum, and the most like C. cuspidispathum in its size, its long-attenuate, basally convolute spathe and its very numerous small prickles. It differs in being vigorously clump-forming where C. cuspidispathum is usually solitary in the wild, in producing a few blooms in succession, in the much narrower spathe with only a small inflated green base (much more extensively convolute and vase-shaped, purple-brown, in C. cuspidispathum), reaching about 80 cm against 1.25 m, more indistinctly streaked and lacking the contrasting yellowish veins, in the exserted anthers, in the depressed-globose berries that stay on the spadix (rounder, and expelled anthurium-like, in C. cuspidispathum) and in the conspicuously crested seeds (barely ornamented in C. cuspidispathum).²
2. Discovered by Imran in the same part of southern Papua where the two authors had just re-found C. giganteum; the discovery is announced in a note added in proof to that paper, which puts the genus at fourteen species, eight of them on New Guinea.⁴
3. Described in the same issue of Aroideana as the rediscovery of C. giganteum and the note on C. johnstonii.² ⁴ ⁵
4. Hariri et al. (2024) count it among the fourteen species known before C. prasinispathum.⁶
5. Seed is offered by at least one European seed merchant under this name, so the species is entering cultivation; no photograph has yet reached iNaturalist or GBIF, and the protologue's figures are the only published images.² ³ ⚠</t>
        </is>
      </c>
      <c r="V16" s="7" t="inlineStr"/>
      <c r="W16" s="7" t="inlineStr"/>
      <c r="X16" s="7" t="inlineStr">
        <is>
          <t>Hay, A. &amp; Imran. 2020. Cyrtosperma giganteum Engl. (Araceae–Lasioideae) found again in Papua Province, Indonesia. Aroideana 43(3–4): 4–11.
Hay, A. 2020. Notes on the typification, origin, and fertility of Cyrtosperma johnstonii (Araceae–Lasioideae). Aroideana 43(3–4): 108–117.
Hariri, M.R. et al. 2024. Cyrtosperma prasinispathum: a new fascinating Aroid species from Papua, Indonesia. Webbia 79(2): 291–294 | https://doi.org/10.36253/jopt-16076</t>
        </is>
      </c>
      <c r="Y16" s="5" t="inlineStr"/>
      <c r="Z16" s="7" t="inlineStr">
        <is>
          <t>https://powo.science.kew.org/taxon/urn%3Alsid%3Aipni.org%3Anames%3A77214865-1</t>
        </is>
      </c>
    </row>
  </sheetData>
  <autoFilter ref="A1:AV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0.1" customWidth="1" min="1" max="1"/>
    <col width="16.6" customWidth="1" min="2" max="2"/>
    <col width="48.8" customWidth="1" min="3" max="3"/>
    <col width="72.8" customWidth="1" min="4" max="4"/>
    <col width="12.4" customWidth="1" min="5" max="5"/>
    <col width="18" customWidth="1" min="6" max="6"/>
    <col width="8.4" customWidth="1" min="7" max="7"/>
    <col width="22.9" customWidth="1" min="10" max="10"/>
  </cols>
  <sheetData>
    <row r="1">
      <c r="A1" t="inlineStr">
        <is>
          <t>CULTIVAR NAME</t>
        </is>
      </c>
      <c r="B1" t="inlineStr">
        <is>
          <t>CULTIVAR SPECIES</t>
        </is>
      </c>
      <c r="C1" t="inlineStr">
        <is>
          <t>ORIGIN</t>
        </is>
      </c>
      <c r="D1" t="inlineStr">
        <is>
          <t>ADDITIONAL CREDITS</t>
        </is>
      </c>
      <c r="E1" t="inlineStr">
        <is>
          <t>DESCRIPTION</t>
        </is>
      </c>
      <c r="F1" t="inlineStr">
        <is>
          <t>VARIEGATED FORMS</t>
        </is>
      </c>
      <c r="G1" t="inlineStr">
        <is>
          <t>HYBRIDS</t>
        </is>
      </c>
      <c r="H1" t="inlineStr">
        <is>
          <t>NOTES</t>
        </is>
      </c>
      <c r="I1" t="inlineStr">
        <is>
          <t>STORY</t>
        </is>
      </c>
      <c r="J1" t="inlineStr">
        <is>
          <t>ADDITIONAL REFERENCES</t>
        </is>
      </c>
      <c r="K1" t="inlineStr">
        <is>
          <t>SLUG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cols>
    <col width="37.8" customWidth="1" min="2" max="2"/>
    <col width="45.4" customWidth="1" min="3" max="3"/>
    <col width="21.5" customWidth="1" min="5" max="5"/>
    <col width="14.2" customWidth="1" min="6" max="6"/>
    <col width="36.4" customWidth="1" min="8" max="8"/>
    <col width="27.6" customWidth="1" min="9" max="9"/>
  </cols>
  <sheetData>
    <row r="1">
      <c r="A1" s="8" t="inlineStr">
        <is>
          <t>AP</t>
        </is>
      </c>
      <c r="B1" s="8" t="inlineStr">
        <is>
          <t>HYBRID NAME</t>
        </is>
      </c>
      <c r="C1" s="8" t="inlineStr">
        <is>
          <t>SYNONYM</t>
        </is>
      </c>
      <c r="D1" s="8" t="inlineStr">
        <is>
          <t>PARENTAGE</t>
        </is>
      </c>
      <c r="E1" s="8" t="inlineStr">
        <is>
          <t>OVULE</t>
        </is>
      </c>
      <c r="F1" s="8" t="inlineStr">
        <is>
          <t>POLLEN</t>
        </is>
      </c>
      <c r="G1" s="8" t="inlineStr">
        <is>
          <t>HYBRIDIZER</t>
        </is>
      </c>
      <c r="H1" s="8" t="inlineStr">
        <is>
          <t>LINK</t>
        </is>
      </c>
      <c r="I1" s="9" t="inlineStr">
        <is>
          <t>ADDITIONAL CREDITS</t>
        </is>
      </c>
      <c r="J1" s="8" t="inlineStr">
        <is>
          <t>ORIGIN</t>
        </is>
      </c>
      <c r="K1" s="8" t="inlineStr">
        <is>
          <t>VARIEGATED FORMS</t>
        </is>
      </c>
      <c r="L1" s="8" t="inlineStr">
        <is>
          <t>DESCRIPTION</t>
        </is>
      </c>
      <c r="M1" s="8" t="inlineStr">
        <is>
          <t>HYBRIDS</t>
        </is>
      </c>
      <c r="N1" s="8" t="inlineStr">
        <is>
          <t>HYBRID DUPES</t>
        </is>
      </c>
      <c r="O1" s="8" t="inlineStr">
        <is>
          <t>NOMENCLATURE DEBATE</t>
        </is>
      </c>
      <c r="P1" s="8" t="inlineStr">
        <is>
          <t>NOTES</t>
        </is>
      </c>
      <c r="Q1" s="8" t="inlineStr">
        <is>
          <t>STORY</t>
        </is>
      </c>
      <c r="R1" s="8" t="inlineStr">
        <is>
          <t>ADDITIONAL REFERENCES</t>
        </is>
      </c>
      <c r="S1" s="8" t="inlineStr">
        <is>
          <t>SLUG</t>
        </is>
      </c>
      <c r="T1" s="9" t="inlineStr">
        <is>
          <t>CLASS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sheetData>
    <row r="1">
      <c r="A1" t="inlineStr">
        <is>
          <t>BACKUP DATE</t>
        </is>
      </c>
      <c r="B1" t="inlineStr">
        <is>
          <t>NOTE</t>
        </is>
      </c>
      <c r="C1" t="inlineStr">
        <is>
          <t>AP 0%</t>
        </is>
      </c>
      <c r="D1" t="inlineStr">
        <is>
          <t>SPECIES NAME</t>
        </is>
      </c>
      <c r="E1" t="inlineStr">
        <is>
          <t>HOMOTYPIC SYNONYMS</t>
        </is>
      </c>
      <c r="F1" t="inlineStr">
        <is>
          <t>HETEROTYPIC SYNONYMS</t>
        </is>
      </c>
      <c r="G1" t="inlineStr">
        <is>
          <t>ACCEPTED INFRASPECIFICS</t>
        </is>
      </c>
      <c r="H1" t="inlineStr">
        <is>
          <t>OTHER NAMES</t>
        </is>
      </c>
      <c r="I1" t="inlineStr">
        <is>
          <t>GEOGRAPHY</t>
        </is>
      </c>
      <c r="J1" t="inlineStr">
        <is>
          <t>DOUBTFULLY PRESENT</t>
        </is>
      </c>
      <c r="K1" t="inlineStr">
        <is>
          <t>YEAR DESCRIBED</t>
        </is>
      </c>
      <c r="L1" t="inlineStr">
        <is>
          <t>JOURNAL</t>
        </is>
      </c>
      <c r="M1" t="inlineStr">
        <is>
          <t>JOURNAL AVAILABLE</t>
        </is>
      </c>
      <c r="N1" t="inlineStr">
        <is>
          <t>PROTOLOGUE NAME &amp; URL</t>
        </is>
      </c>
      <c r="O1" t="inlineStr">
        <is>
          <t>PROTOLOGUE TEXT</t>
        </is>
      </c>
      <c r="P1" t="inlineStr">
        <is>
          <t>DESCRIPTION</t>
        </is>
      </c>
      <c r="Q1" t="inlineStr">
        <is>
          <t>INFLORESCENCE</t>
        </is>
      </c>
      <c r="R1" t="inlineStr">
        <is>
          <t>ADDITIONAL DISTRIBUTION</t>
        </is>
      </c>
      <c r="S1" t="inlineStr">
        <is>
          <t>INATURALIST</t>
        </is>
      </c>
      <c r="T1" t="inlineStr">
        <is>
          <t>ECOLOGY</t>
        </is>
      </c>
      <c r="U1" t="inlineStr">
        <is>
          <t>ETYMOLOGY</t>
        </is>
      </c>
      <c r="V1" t="inlineStr">
        <is>
          <t>ADDITIONAL CREDITS</t>
        </is>
      </c>
      <c r="W1" t="inlineStr">
        <is>
          <t>NOTES</t>
        </is>
      </c>
      <c r="X1" t="inlineStr">
        <is>
          <t>PROPAGATION</t>
        </is>
      </c>
      <c r="Y1" t="inlineStr">
        <is>
          <t>STORY</t>
        </is>
      </c>
      <c r="Z1" t="inlineStr">
        <is>
          <t>ADDITIONAL REFERENCES</t>
        </is>
      </c>
      <c r="AA1" t="inlineStr">
        <is>
          <t>HYBRIDS</t>
        </is>
      </c>
      <c r="AB1" t="inlineStr">
        <is>
          <t>KEW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2026-09-07T03:39:45Z</dcterms:created>
  <dcterms:modified xsi:type="dcterms:W3CDTF">2026-09-07T03:39:45Z</dcterms:modified>
</cp:coreProperties>
</file>