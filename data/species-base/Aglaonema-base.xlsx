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CULTIVARS" sheetId="2" state="visible" r:id="rId2"/>
    <sheet name="HYBRIDS" sheetId="3" state="visible" r:id="rId3"/>
    <sheet name="ROW BACKUPS" sheetId="4" state="visible" r:id="rId4"/>
  </sheets>
  <definedNames>
    <definedName name="_xlnm._FilterDatabase" localSheetId="0" hidden="1">'SPECIES'!$A$1:$AV$27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name val="Calibri"/>
      <color rgb="000000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2.9" customWidth="1" min="2" max="2"/>
    <col width="74.90000000000001" customWidth="1" min="3" max="3"/>
    <col width="10" customWidth="1" min="4" max="4"/>
    <col width="17.6" customWidth="1" min="5" max="5"/>
    <col width="19.8" customWidth="1" min="6" max="6"/>
    <col width="65.40000000000001" customWidth="1" min="7" max="7"/>
    <col width="10.9" customWidth="1" min="8" max="8"/>
    <col width="9.6" customWidth="1" min="9" max="9"/>
    <col width="66.59999999999999" customWidth="1" min="10" max="10"/>
    <col width="4.4" customWidth="1" min="11" max="11"/>
    <col width="81.90000000000001" customWidth="1" min="12" max="12"/>
    <col width="17.5" customWidth="1" min="13" max="13"/>
    <col width="18.6" customWidth="1" min="14" max="14"/>
    <col width="37.8" customWidth="1" min="15" max="15"/>
    <col width="29.8" customWidth="1" min="16" max="16"/>
    <col width="57.6" customWidth="1" min="17" max="17"/>
    <col width="33.5" customWidth="1" min="18" max="18"/>
    <col width="29.6" customWidth="1" min="19" max="19"/>
    <col width="24.2" customWidth="1" min="20" max="20"/>
    <col width="45.4" customWidth="1" min="21" max="21"/>
    <col width="80.90000000000001" customWidth="1" min="22" max="22"/>
    <col width="23.6" customWidth="1" min="23" max="23"/>
    <col width="90.5" customWidth="1" min="24" max="24"/>
    <col width="79.40000000000001" customWidth="1" min="25" max="25"/>
    <col width="67.8" customWidth="1" min="26" max="26"/>
    <col width="29.1" customWidth="1" min="27" max="27"/>
  </cols>
  <sheetData>
    <row r="1" ht="26.25" customHeight="1">
      <c r="A1" s="1" t="inlineStr">
        <is>
          <t>AP</t>
        </is>
      </c>
      <c r="B1" s="1" t="inlineStr">
        <is>
          <t>SPECIES NAME</t>
        </is>
      </c>
      <c r="C1" s="1" t="inlineStr">
        <is>
          <t>HOMOTYPIC SYNONYMS</t>
        </is>
      </c>
      <c r="D1" s="1" t="inlineStr">
        <is>
          <t>HETEROTYPIC SYNONYMS</t>
        </is>
      </c>
      <c r="E1" s="1" t="inlineStr">
        <is>
          <t>ACCEPTED INFRASPECIFICS</t>
        </is>
      </c>
      <c r="F1" s="1" t="inlineStr">
        <is>
          <t>OTHER NAMES</t>
        </is>
      </c>
      <c r="G1" s="1" t="inlineStr">
        <is>
          <t>GEOGRAPHY</t>
        </is>
      </c>
      <c r="H1" s="1" t="inlineStr">
        <is>
          <t>DOUBTFULLY PRESENT</t>
        </is>
      </c>
      <c r="I1" s="1" t="inlineStr">
        <is>
          <t>YEAR DESCRIBED</t>
        </is>
      </c>
      <c r="J1" s="1" t="inlineStr">
        <is>
          <t>JOURNAL</t>
        </is>
      </c>
      <c r="K1" s="1" t="inlineStr">
        <is>
          <t>JOURNAL AVAILABLE</t>
        </is>
      </c>
      <c r="L1" s="2" t="inlineStr">
        <is>
          <t>PROTOLOGUE NAME &amp; URL</t>
        </is>
      </c>
      <c r="M1" s="2" t="inlineStr">
        <is>
          <t>PROTOLOGUE TEXT</t>
        </is>
      </c>
      <c r="N1" s="2" t="inlineStr">
        <is>
          <t>DESCRIPTION</t>
        </is>
      </c>
      <c r="O1" s="2" t="inlineStr">
        <is>
          <t>INFLORESCENCE</t>
        </is>
      </c>
      <c r="P1" s="2" t="inlineStr">
        <is>
          <t>ADDITIONAL DISTRIBUTION</t>
        </is>
      </c>
      <c r="Q1" s="2" t="inlineStr">
        <is>
          <t>INATURALIST</t>
        </is>
      </c>
      <c r="R1" s="2" t="inlineStr">
        <is>
          <t>ECOLOGY</t>
        </is>
      </c>
      <c r="S1" s="2" t="inlineStr">
        <is>
          <t>ETYMOLOGY</t>
        </is>
      </c>
      <c r="T1" s="2" t="inlineStr">
        <is>
          <t>ADDITIONAL CREDITS</t>
        </is>
      </c>
      <c r="U1" s="2" t="inlineStr">
        <is>
          <t>NOTES</t>
        </is>
      </c>
      <c r="V1" s="3" t="inlineStr">
        <is>
          <t>PROPAGATION</t>
        </is>
      </c>
      <c r="W1" s="3" t="inlineStr">
        <is>
          <t>STORY</t>
        </is>
      </c>
      <c r="X1" s="3" t="inlineStr">
        <is>
          <t>ADDITIONAL REFERENCES</t>
        </is>
      </c>
      <c r="Y1" s="2" t="inlineStr">
        <is>
          <t>HYBRIDS</t>
        </is>
      </c>
      <c r="Z1" s="2" t="inlineStr">
        <is>
          <t>KEW LINK</t>
        </is>
      </c>
    </row>
    <row r="2" ht="26.25" customHeight="1">
      <c r="A2" s="4" t="inlineStr"/>
      <c r="B2" s="4" t="inlineStr">
        <is>
          <t>Aglaonema birmanicum</t>
        </is>
      </c>
      <c r="C2" s="4" t="inlineStr"/>
      <c r="D2" s="4" t="inlineStr"/>
      <c r="E2" s="4" t="inlineStr"/>
      <c r="F2" s="4" t="inlineStr"/>
      <c r="G2" s="4" t="inlineStr">
        <is>
          <t>Assam to Myanmar</t>
        </is>
      </c>
      <c r="H2" s="4" t="inlineStr"/>
      <c r="I2" s="4">
        <f>left(RIGHT(J2,5),4)</f>
        <v/>
      </c>
      <c r="J2" s="4" t="inlineStr">
        <is>
          <t>Fl. Brit. India 6: 529 (1893)</t>
        </is>
      </c>
      <c r="K2" s="4" t="inlineStr"/>
      <c r="L2" s="5" t="inlineStr"/>
      <c r="M2" s="5" t="inlineStr"/>
      <c r="N2" s="5" t="inlineStr"/>
      <c r="O2" s="5" t="inlineStr"/>
      <c r="P2" s="5" t="inlineStr"/>
      <c r="Q2" s="6" t="inlineStr"/>
      <c r="R2" s="5" t="inlineStr"/>
      <c r="S2" s="5" t="inlineStr"/>
      <c r="T2" s="5" t="inlineStr"/>
      <c r="U2" s="5" t="inlineStr"/>
      <c r="V2" s="7" t="inlineStr"/>
      <c r="W2" s="7" t="inlineStr"/>
      <c r="X2" s="7" t="inlineStr"/>
      <c r="Y2" s="5" t="inlineStr"/>
      <c r="Z2" s="7" t="inlineStr">
        <is>
          <t>https://powo.science.kew.org/taxon/urn%3Alsid%3Aipni.org%3Anames%3A84043-1</t>
        </is>
      </c>
    </row>
    <row r="3" ht="26.25" customHeight="1">
      <c r="A3" s="4" t="inlineStr"/>
      <c r="B3" s="4" t="inlineStr">
        <is>
          <t>Aglaonema brevispathum</t>
        </is>
      </c>
      <c r="C3" s="4" t="inlineStr">
        <is>
          <t>Aglaonema costatum var. brevispathum (Engl.) Jervis; Homalomena brevispatha Engl.</t>
        </is>
      </c>
      <c r="D3" s="4" t="inlineStr">
        <is>
          <t>Aglaonema brevispathum f. hospitum (F.N.Williams) Nicolson; Aglaonema costatum f. obtusatum (Engl.) Jervis; Aglaonema hospitum F.N.Williams; Aglaonema hospitum var. obtusatum Engl.; Aglaonema ridleyanum Engl.; Schismatoglottis siamensis W.Bull</t>
        </is>
      </c>
      <c r="E3" s="4" t="inlineStr"/>
      <c r="F3" s="4" t="inlineStr"/>
      <c r="G3" s="4" t="inlineStr">
        <is>
          <t>Indo-China</t>
        </is>
      </c>
      <c r="H3" s="4" t="inlineStr"/>
      <c r="I3" s="4">
        <f>left(RIGHT(J3,5),4)</f>
        <v/>
      </c>
      <c r="J3" s="4" t="inlineStr">
        <is>
          <t>Pflanzenr., IV, 23Dc: 32 (1915)</t>
        </is>
      </c>
      <c r="K3" s="4" t="inlineStr"/>
      <c r="L3" s="5" t="inlineStr"/>
      <c r="M3" s="5" t="inlineStr"/>
      <c r="N3" s="5" t="inlineStr"/>
      <c r="O3" s="5" t="inlineStr"/>
      <c r="P3" s="5" t="inlineStr"/>
      <c r="Q3" s="6" t="inlineStr"/>
      <c r="R3" s="5" t="inlineStr"/>
      <c r="S3" s="5" t="inlineStr"/>
      <c r="T3" s="5" t="inlineStr"/>
      <c r="U3" s="5" t="inlineStr"/>
      <c r="V3" s="7" t="inlineStr"/>
      <c r="W3" s="7" t="inlineStr"/>
      <c r="X3" s="7" t="inlineStr"/>
      <c r="Y3" s="5" t="inlineStr"/>
      <c r="Z3" s="7" t="inlineStr">
        <is>
          <t>https://powo.science.kew.org/taxon/urn%3Alsid%3Aipni.org%3Anames%3A84045-1</t>
        </is>
      </c>
    </row>
    <row r="4" ht="26.25" customHeight="1">
      <c r="A4" s="4" t="inlineStr"/>
      <c r="B4" s="4" t="inlineStr">
        <is>
          <t>Aglaonema chermsiriwattanae</t>
        </is>
      </c>
      <c r="C4" s="4" t="inlineStr"/>
      <c r="D4" s="4" t="inlineStr"/>
      <c r="E4" s="4" t="inlineStr"/>
      <c r="F4" s="4" t="inlineStr"/>
      <c r="G4" s="4" t="inlineStr">
        <is>
          <t>Pen. Thailand</t>
        </is>
      </c>
      <c r="H4" s="4" t="inlineStr"/>
      <c r="I4" s="4">
        <f>left(RIGHT(J4,5),4)</f>
        <v/>
      </c>
      <c r="J4" s="4" t="inlineStr">
        <is>
          <t>Thai For. Bull. (Bot.) 25: 54 (1997)</t>
        </is>
      </c>
      <c r="K4" s="4" t="inlineStr"/>
      <c r="L4" s="5" t="inlineStr"/>
      <c r="M4" s="5" t="inlineStr"/>
      <c r="N4" s="5" t="inlineStr"/>
      <c r="O4" s="5" t="inlineStr"/>
      <c r="P4" s="5" t="inlineStr"/>
      <c r="Q4" s="6" t="inlineStr"/>
      <c r="R4" s="5" t="inlineStr"/>
      <c r="S4" s="5" t="inlineStr"/>
      <c r="T4" s="5" t="inlineStr"/>
      <c r="U4" s="5" t="inlineStr"/>
      <c r="V4" s="7" t="inlineStr"/>
      <c r="W4" s="7" t="inlineStr"/>
      <c r="X4" s="7" t="inlineStr"/>
      <c r="Y4" s="5" t="inlineStr"/>
      <c r="Z4" s="7" t="inlineStr">
        <is>
          <t>https://powo.science.kew.org/taxon/urn%3Alsid%3Aipni.org%3Anames%3A998926-1</t>
        </is>
      </c>
    </row>
    <row r="5" ht="26.25" customHeight="1">
      <c r="A5" s="4" t="inlineStr"/>
      <c r="B5" s="4" t="inlineStr">
        <is>
          <t>Aglaonema cochinchinense</t>
        </is>
      </c>
      <c r="C5" s="4" t="inlineStr"/>
      <c r="D5" s="4" t="inlineStr">
        <is>
          <t>Aglaonema cambodianum Gagnep.</t>
        </is>
      </c>
      <c r="E5" s="4" t="inlineStr"/>
      <c r="F5" s="4" t="inlineStr"/>
      <c r="G5" s="4" t="inlineStr">
        <is>
          <t>S. Indo-China to N. Pen. Malaysia</t>
        </is>
      </c>
      <c r="H5" s="4" t="inlineStr"/>
      <c r="I5" s="4">
        <f>left(RIGHT(J5,5),4)</f>
        <v/>
      </c>
      <c r="J5" s="4" t="inlineStr">
        <is>
          <t>Pflanzenr., IV, 23Dc: 16 (1915)</t>
        </is>
      </c>
      <c r="K5" s="4" t="inlineStr"/>
      <c r="L5" s="5" t="inlineStr"/>
      <c r="M5" s="5" t="inlineStr"/>
      <c r="N5" s="5" t="inlineStr"/>
      <c r="O5" s="5" t="inlineStr"/>
      <c r="P5" s="5" t="inlineStr"/>
      <c r="Q5" s="6" t="inlineStr"/>
      <c r="R5" s="5" t="inlineStr"/>
      <c r="S5" s="5" t="inlineStr"/>
      <c r="T5" s="5" t="inlineStr"/>
      <c r="U5" s="5" t="inlineStr"/>
      <c r="V5" s="7" t="inlineStr"/>
      <c r="W5" s="7" t="inlineStr"/>
      <c r="X5" s="7" t="inlineStr"/>
      <c r="Y5" s="5" t="inlineStr"/>
      <c r="Z5" s="7" t="inlineStr">
        <is>
          <t>https://powo.science.kew.org/taxon/urn%3Alsid%3Aipni.org%3Anames%3A84049-1</t>
        </is>
      </c>
    </row>
    <row r="6" ht="26.25" customHeight="1">
      <c r="A6" s="4" t="inlineStr"/>
      <c r="B6" s="4" t="inlineStr">
        <is>
          <t>Aglaonema commutatum</t>
        </is>
      </c>
      <c r="C6" s="4" t="inlineStr">
        <is>
          <t>Aglaonema marantifolium var. commutatum (Schott) Engl.</t>
        </is>
      </c>
      <c r="D6" s="4" t="inlineStr"/>
      <c r="E6" s="4" t="inlineStr"/>
      <c r="F6" s="4" t="inlineStr"/>
      <c r="G6" s="4" t="inlineStr">
        <is>
          <t>C. Malesia</t>
        </is>
      </c>
      <c r="H6" s="4" t="inlineStr"/>
      <c r="I6" s="4">
        <f>left(RIGHT(J6,5),4)</f>
        <v/>
      </c>
      <c r="J6" s="4" t="inlineStr">
        <is>
          <t>Syn. Aroid.: 123 (1856)</t>
        </is>
      </c>
      <c r="K6" s="4" t="inlineStr"/>
      <c r="L6" s="5" t="inlineStr"/>
      <c r="M6" s="5" t="inlineStr"/>
      <c r="N6" s="5" t="inlineStr"/>
      <c r="O6" s="5" t="inlineStr"/>
      <c r="P6" s="5" t="inlineStr"/>
      <c r="Q6" s="6" t="inlineStr"/>
      <c r="R6" s="5" t="inlineStr"/>
      <c r="S6" s="5" t="inlineStr"/>
      <c r="T6" s="5" t="inlineStr"/>
      <c r="U6" s="5" t="inlineStr"/>
      <c r="V6" s="7" t="inlineStr"/>
      <c r="W6" s="7" t="inlineStr"/>
      <c r="X6" s="7" t="inlineStr"/>
      <c r="Y6" s="5" t="inlineStr"/>
      <c r="Z6" s="7" t="inlineStr">
        <is>
          <t>https://powo.science.kew.org/taxon/urn%3Alsid%3Aipni.org%3Anames%3A84050-1</t>
        </is>
      </c>
    </row>
    <row r="7" ht="26.25" customHeight="1">
      <c r="A7" s="4" t="inlineStr"/>
      <c r="B7" s="4" t="inlineStr">
        <is>
          <t>Aglaonema cordifolium</t>
        </is>
      </c>
      <c r="C7" s="4" t="inlineStr">
        <is>
          <t>Aglaonema simplex f. cordifolium (Engl.) Jervis</t>
        </is>
      </c>
      <c r="D7" s="4" t="inlineStr"/>
      <c r="E7" s="4" t="inlineStr"/>
      <c r="F7" s="4" t="inlineStr"/>
      <c r="G7" s="4" t="inlineStr">
        <is>
          <t>Philippines (S. Mindanao)</t>
        </is>
      </c>
      <c r="H7" s="4" t="inlineStr"/>
      <c r="I7" s="4">
        <f>left(RIGHT(J7,5),4)</f>
        <v/>
      </c>
      <c r="J7" s="4" t="inlineStr">
        <is>
          <t>Pflanzenr., IV, 23Dc: 29 (1915)</t>
        </is>
      </c>
      <c r="K7" s="4" t="inlineStr"/>
      <c r="L7" s="5" t="inlineStr"/>
      <c r="M7" s="5" t="inlineStr"/>
      <c r="N7" s="5" t="inlineStr"/>
      <c r="O7" s="5" t="inlineStr"/>
      <c r="P7" s="5" t="inlineStr"/>
      <c r="Q7" s="6" t="inlineStr"/>
      <c r="R7" s="5" t="inlineStr"/>
      <c r="S7" s="5" t="inlineStr"/>
      <c r="T7" s="5" t="inlineStr"/>
      <c r="U7" s="5" t="inlineStr"/>
      <c r="V7" s="7" t="inlineStr"/>
      <c r="W7" s="7" t="inlineStr"/>
      <c r="X7" s="7" t="inlineStr"/>
      <c r="Y7" s="5" t="inlineStr"/>
      <c r="Z7" s="7" t="inlineStr">
        <is>
          <t>https://powo.science.kew.org/taxon/urn%3Alsid%3Aipni.org%3Anames%3A84051-1</t>
        </is>
      </c>
    </row>
    <row r="8" ht="26.25" customHeight="1">
      <c r="A8" s="4" t="inlineStr"/>
      <c r="B8" s="4" t="inlineStr">
        <is>
          <t>Aglaonema costatum</t>
        </is>
      </c>
      <c r="C8" s="4" t="inlineStr"/>
      <c r="D8" s="4" t="inlineStr">
        <is>
          <t>Aglaonema costatum f. concolor Nicolson; Aglaonema costatum f. foxii (Engl.) Jervis; Aglaonema costatum f. immaculatum (Ridl.) Nicolson; Aglaonema costatum f. virescens (Ridl. ex Engl.) Nicolson; Aglaonema costatum var. foxii Engl.; Aglaonema costatum var. immaculatum Ridl.; Aglaonema costatum var. lineatum Engl.; Aglaonema costatum var. maculatum Engl.; Aglaonema costatum var. virescens Ridl. ex Engl.</t>
        </is>
      </c>
      <c r="E8" s="4" t="inlineStr"/>
      <c r="F8" s="4" t="inlineStr"/>
      <c r="G8" s="4" t="inlineStr">
        <is>
          <t>Bangladesh to Pen. Malaysia (Pulau Langkawi)</t>
        </is>
      </c>
      <c r="H8" s="4" t="inlineStr"/>
      <c r="I8" s="4">
        <f>left(RIGHT(J8,5),4)</f>
        <v/>
      </c>
      <c r="J8" s="4" t="inlineStr">
        <is>
          <t>Gard. Chron., ser. 3, 11: 426 (1892)</t>
        </is>
      </c>
      <c r="K8" s="4" t="inlineStr"/>
      <c r="L8" s="5" t="inlineStr"/>
      <c r="M8" s="5" t="inlineStr"/>
      <c r="N8" s="5" t="inlineStr"/>
      <c r="O8" s="5" t="inlineStr"/>
      <c r="P8" s="5" t="inlineStr"/>
      <c r="Q8" s="6" t="inlineStr"/>
      <c r="R8" s="5" t="inlineStr"/>
      <c r="S8" s="5" t="inlineStr"/>
      <c r="T8" s="5" t="inlineStr"/>
      <c r="U8" s="5" t="inlineStr"/>
      <c r="V8" s="7" t="inlineStr"/>
      <c r="W8" s="7" t="inlineStr"/>
      <c r="X8" s="7" t="inlineStr"/>
      <c r="Y8" s="5" t="inlineStr"/>
      <c r="Z8" s="7" t="inlineStr">
        <is>
          <t>https://powo.science.kew.org/taxon/urn%3Alsid%3Aipni.org%3Anames%3A84052-1</t>
        </is>
      </c>
    </row>
    <row r="9" ht="26.25" customHeight="1">
      <c r="A9" s="4" t="inlineStr"/>
      <c r="B9" s="4" t="inlineStr">
        <is>
          <t>Aglaonema densinervium</t>
        </is>
      </c>
      <c r="C9" s="4" t="inlineStr">
        <is>
          <t>Aglaonema philippinense var. densinervium (Engl.) Jervis</t>
        </is>
      </c>
      <c r="D9" s="4" t="inlineStr"/>
      <c r="E9" s="4" t="inlineStr"/>
      <c r="F9" s="4" t="inlineStr"/>
      <c r="G9" s="4" t="inlineStr">
        <is>
          <t>Philippines to NE. Sulawesi</t>
        </is>
      </c>
      <c r="H9" s="4" t="inlineStr"/>
      <c r="I9" s="4">
        <f>left(RIGHT(J9,5),4)</f>
        <v/>
      </c>
      <c r="J9" s="4" t="inlineStr">
        <is>
          <t>Bot. Jahrb. Syst. 37: 134 (1905)</t>
        </is>
      </c>
      <c r="K9" s="4" t="inlineStr"/>
      <c r="L9" s="5" t="inlineStr"/>
      <c r="M9" s="5" t="inlineStr"/>
      <c r="N9" s="5" t="inlineStr"/>
      <c r="O9" s="5" t="inlineStr"/>
      <c r="P9" s="5" t="inlineStr"/>
      <c r="Q9" s="6" t="inlineStr"/>
      <c r="R9" s="5" t="inlineStr"/>
      <c r="S9" s="5" t="inlineStr"/>
      <c r="T9" s="5" t="inlineStr"/>
      <c r="U9" s="5" t="inlineStr"/>
      <c r="V9" s="7" t="inlineStr"/>
      <c r="W9" s="7" t="inlineStr"/>
      <c r="X9" s="7" t="inlineStr"/>
      <c r="Y9" s="5" t="inlineStr"/>
      <c r="Z9" s="7" t="inlineStr">
        <is>
          <t>https://powo.science.kew.org/taxon/urn%3Alsid%3Aipni.org%3Anames%3A84056-1</t>
        </is>
      </c>
    </row>
    <row r="10" ht="26.25" customHeight="1">
      <c r="A10" s="4" t="inlineStr"/>
      <c r="B10" s="4" t="inlineStr">
        <is>
          <t>Aglaonema flemingianum</t>
        </is>
      </c>
      <c r="C10" s="4" t="inlineStr"/>
      <c r="D10" s="4" t="inlineStr"/>
      <c r="E10" s="4" t="inlineStr"/>
      <c r="F10" s="4" t="inlineStr"/>
      <c r="G10" s="4" t="inlineStr">
        <is>
          <t>Pen. Malaysia (Terengganu)</t>
        </is>
      </c>
      <c r="H10" s="4" t="inlineStr"/>
      <c r="I10" s="4">
        <f>left(RIGHT(J10,5),4)</f>
        <v/>
      </c>
      <c r="J10" s="4" t="inlineStr">
        <is>
          <t>Gard. Bull. Singapore 50: 1 (1998)</t>
        </is>
      </c>
      <c r="K10" s="4" t="inlineStr"/>
      <c r="L10" s="5" t="inlineStr"/>
      <c r="M10" s="5" t="inlineStr"/>
      <c r="N10" s="5" t="inlineStr"/>
      <c r="O10" s="5" t="inlineStr"/>
      <c r="P10" s="5" t="inlineStr"/>
      <c r="Q10" s="6" t="inlineStr"/>
      <c r="R10" s="5" t="inlineStr"/>
      <c r="S10" s="5" t="inlineStr"/>
      <c r="T10" s="5" t="inlineStr"/>
      <c r="U10" s="5" t="inlineStr"/>
      <c r="V10" s="7" t="inlineStr"/>
      <c r="W10" s="7" t="inlineStr"/>
      <c r="X10" s="7" t="inlineStr"/>
      <c r="Y10" s="5" t="inlineStr"/>
      <c r="Z10" s="7" t="inlineStr">
        <is>
          <t>https://powo.science.kew.org/taxon/urn%3Alsid%3Aipni.org%3Anames%3A1004140-1</t>
        </is>
      </c>
    </row>
    <row r="11" ht="26.25" customHeight="1">
      <c r="A11" s="4" t="inlineStr"/>
      <c r="B11" s="4" t="inlineStr">
        <is>
          <t>Aglaonema hookerianum</t>
        </is>
      </c>
      <c r="C11" s="4" t="inlineStr"/>
      <c r="D11" s="4" t="inlineStr">
        <is>
          <t>Aglaonema clarkei Hook.f.</t>
        </is>
      </c>
      <c r="E11" s="4" t="inlineStr"/>
      <c r="F11" s="4" t="inlineStr"/>
      <c r="G11" s="4" t="inlineStr">
        <is>
          <t>E. Himalaya to W. Myanmar</t>
        </is>
      </c>
      <c r="H11" s="4" t="inlineStr"/>
      <c r="I11" s="4">
        <f>left(RIGHT(J11,5),4)</f>
        <v/>
      </c>
      <c r="J11" s="4" t="inlineStr">
        <is>
          <t>Bonplandia (Hannover) 7: 30 (1859)</t>
        </is>
      </c>
      <c r="K11" s="4" t="inlineStr"/>
      <c r="L11" s="5" t="inlineStr"/>
      <c r="M11" s="5" t="inlineStr"/>
      <c r="N11" s="5" t="inlineStr"/>
      <c r="O11" s="5" t="inlineStr"/>
      <c r="P11" s="5" t="inlineStr"/>
      <c r="Q11" s="6" t="inlineStr"/>
      <c r="R11" s="5" t="inlineStr"/>
      <c r="S11" s="5" t="inlineStr"/>
      <c r="T11" s="5" t="inlineStr"/>
      <c r="U11" s="5" t="inlineStr"/>
      <c r="V11" s="7" t="inlineStr"/>
      <c r="W11" s="7" t="inlineStr"/>
      <c r="X11" s="7" t="inlineStr"/>
      <c r="Y11" s="5" t="inlineStr"/>
      <c r="Z11" s="7" t="inlineStr">
        <is>
          <t>https://powo.science.kew.org/taxon/urn%3Alsid%3Aipni.org%3Anames%3A84067-1</t>
        </is>
      </c>
    </row>
    <row r="12" ht="26.25" customHeight="1">
      <c r="A12" s="4" t="inlineStr"/>
      <c r="B12" s="4" t="inlineStr">
        <is>
          <t>Aglaonema manabendrae</t>
        </is>
      </c>
      <c r="C12" s="4" t="inlineStr"/>
      <c r="D12" s="4" t="inlineStr"/>
      <c r="E12" s="4" t="inlineStr"/>
      <c r="F12" s="4" t="inlineStr"/>
      <c r="G12" s="4" t="inlineStr">
        <is>
          <t>Assam</t>
        </is>
      </c>
      <c r="H12" s="4" t="inlineStr"/>
      <c r="I12" s="4">
        <f>left(RIGHT(J12,5),4)</f>
        <v/>
      </c>
      <c r="J12" s="4" t="inlineStr">
        <is>
          <t>NeBIO 12(1): 1 (2021)</t>
        </is>
      </c>
      <c r="K12" s="4" t="inlineStr"/>
      <c r="L12" s="5" t="inlineStr"/>
      <c r="M12" s="5" t="inlineStr"/>
      <c r="N12" s="5" t="inlineStr"/>
      <c r="O12" s="5" t="inlineStr"/>
      <c r="P12" s="5" t="inlineStr"/>
      <c r="Q12" s="6" t="inlineStr"/>
      <c r="R12" s="5" t="inlineStr"/>
      <c r="S12" s="5" t="inlineStr"/>
      <c r="T12" s="5" t="inlineStr"/>
      <c r="U12" s="5" t="inlineStr"/>
      <c r="V12" s="7" t="inlineStr"/>
      <c r="W12" s="7" t="inlineStr"/>
      <c r="X12" s="7" t="inlineStr"/>
      <c r="Y12" s="5" t="inlineStr"/>
      <c r="Z12" s="7" t="inlineStr">
        <is>
          <t>https://powo.science.kew.org/taxon/urn%3Alsid%3Aipni.org%3Anames%3A77322194-1</t>
        </is>
      </c>
    </row>
    <row r="13" ht="26.25" customHeight="1">
      <c r="A13" s="4" t="inlineStr"/>
      <c r="B13" s="4" t="inlineStr">
        <is>
          <t>Aglaonema marantifolium</t>
        </is>
      </c>
      <c r="C13" s="4" t="inlineStr">
        <is>
          <t>Caladium marantifolium (Blume) Zipp. ex Kunth</t>
        </is>
      </c>
      <c r="D13" s="4" t="inlineStr">
        <is>
          <t>Aglaonema novoguineense Engl.; Aglaonema oblongifolium (Roxb.) Kunth; Calla oblongifolia Roxb.; Scindapsus erectus C.Presl</t>
        </is>
      </c>
      <c r="E13" s="4" t="inlineStr"/>
      <c r="F13" s="4" t="inlineStr"/>
      <c r="G13" s="4" t="inlineStr">
        <is>
          <t>Maluku to Papua New Guinea</t>
        </is>
      </c>
      <c r="H13" s="4" t="inlineStr"/>
      <c r="I13" s="4">
        <f>left(RIGHT(J13,5),4)</f>
        <v/>
      </c>
      <c r="J13" s="4" t="inlineStr">
        <is>
          <t>Rumphia 1: 153 (1837)</t>
        </is>
      </c>
      <c r="K13" s="4" t="inlineStr"/>
      <c r="L13" s="5" t="inlineStr"/>
      <c r="M13" s="5" t="inlineStr"/>
      <c r="N13" s="5" t="inlineStr"/>
      <c r="O13" s="5" t="inlineStr"/>
      <c r="P13" s="5" t="inlineStr"/>
      <c r="Q13" s="6" t="inlineStr"/>
      <c r="R13" s="5" t="inlineStr"/>
      <c r="S13" s="5" t="inlineStr"/>
      <c r="T13" s="5" t="inlineStr"/>
      <c r="U13" s="5" t="inlineStr"/>
      <c r="V13" s="7" t="inlineStr"/>
      <c r="W13" s="7" t="inlineStr"/>
      <c r="X13" s="7" t="inlineStr"/>
      <c r="Y13" s="5" t="inlineStr"/>
      <c r="Z13" s="7" t="inlineStr">
        <is>
          <t>https://powo.science.kew.org/taxon/urn%3Alsid%3Aipni.org%3Anames%3A84078-1</t>
        </is>
      </c>
    </row>
    <row r="14" ht="26.25" customHeight="1">
      <c r="A14" s="4" t="inlineStr"/>
      <c r="B14" s="4" t="inlineStr">
        <is>
          <t>Aglaonema modestum</t>
        </is>
      </c>
      <c r="C14" s="4" t="inlineStr"/>
      <c r="D14" s="4" t="inlineStr">
        <is>
          <t>Aglaonema acutispathum N.E.Br.; Aglaonema costatum var. viride Engl.; Aglaonema laoticum Gagnep.</t>
        </is>
      </c>
      <c r="E14" s="4" t="inlineStr"/>
      <c r="F14" s="4" t="inlineStr"/>
      <c r="G14" s="4" t="inlineStr">
        <is>
          <t>SE. Bangladesh to S. China and Indo-China</t>
        </is>
      </c>
      <c r="H14" s="4" t="inlineStr"/>
      <c r="I14" s="4">
        <f>left(RIGHT(J14,5),4)</f>
        <v/>
      </c>
      <c r="J14" s="4" t="inlineStr">
        <is>
          <t>A.L.P.P.de Candolle &amp; A.C.P.de Candolle, Monogr. Phan. 2: 442 (1879)</t>
        </is>
      </c>
      <c r="K14" s="4" t="inlineStr"/>
      <c r="L14" s="5" t="inlineStr"/>
      <c r="M14" s="5" t="inlineStr"/>
      <c r="N14" s="5" t="inlineStr"/>
      <c r="O14" s="5" t="inlineStr"/>
      <c r="P14" s="5" t="inlineStr"/>
      <c r="Q14" s="6" t="inlineStr"/>
      <c r="R14" s="5" t="inlineStr"/>
      <c r="S14" s="5" t="inlineStr"/>
      <c r="T14" s="5" t="inlineStr"/>
      <c r="U14" s="5" t="inlineStr"/>
      <c r="V14" s="7" t="inlineStr"/>
      <c r="W14" s="7" t="inlineStr"/>
      <c r="X14" s="7" t="inlineStr"/>
      <c r="Y14" s="5" t="inlineStr"/>
      <c r="Z14" s="7" t="inlineStr">
        <is>
          <t>https://powo.science.kew.org/taxon/urn%3Alsid%3Aipni.org%3Anames%3A84081-1</t>
        </is>
      </c>
    </row>
    <row r="15" ht="26.25" customHeight="1">
      <c r="A15" s="4" t="inlineStr"/>
      <c r="B15" s="4" t="inlineStr">
        <is>
          <t>Aglaonema nebulosum</t>
        </is>
      </c>
      <c r="C15" s="4" t="inlineStr"/>
      <c r="D15" s="4" t="inlineStr">
        <is>
          <t>Aglaonema minus Hook.f.; Aglaonema minus var. nanum (Hook.f.) Ridl.; Aglaonema minus var. scortechinii (Hook.f.) Ridl.; Aglaonema nanum Hook.f.; Aglaonema nebulosum f. nanum (Hook.f.) Nicolson; Aglaonema obovatum Alderw.; Aglaonema pictum var. nanum (Hook.f.) Ridl.; Aglaonema pictum var. scortechinii (Hook.f.) Ridl.; Aglaonema scortechinii Hook.f.</t>
        </is>
      </c>
      <c r="E15" s="4" t="inlineStr"/>
      <c r="F15" s="4" t="inlineStr"/>
      <c r="G15" s="4" t="inlineStr">
        <is>
          <t>Assam (Meghalaya), W. Malesia</t>
        </is>
      </c>
      <c r="H15" s="4" t="inlineStr"/>
      <c r="I15" s="4">
        <f>left(RIGHT(J15,5),4)</f>
        <v/>
      </c>
      <c r="J15" s="4" t="inlineStr">
        <is>
          <t>Ill. Hort. 31: 67 (1887)</t>
        </is>
      </c>
      <c r="K15" s="4" t="inlineStr"/>
      <c r="L15" s="5" t="inlineStr"/>
      <c r="M15" s="5" t="inlineStr"/>
      <c r="N15" s="5" t="inlineStr"/>
      <c r="O15" s="5" t="inlineStr"/>
      <c r="P15" s="5" t="inlineStr"/>
      <c r="Q15" s="6" t="inlineStr"/>
      <c r="R15" s="5" t="inlineStr"/>
      <c r="S15" s="5" t="inlineStr"/>
      <c r="T15" s="5" t="inlineStr"/>
      <c r="U15" s="5" t="inlineStr"/>
      <c r="V15" s="7" t="inlineStr"/>
      <c r="W15" s="7" t="inlineStr"/>
      <c r="X15" s="7" t="inlineStr"/>
      <c r="Y15" s="5" t="inlineStr"/>
      <c r="Z15" s="7" t="inlineStr">
        <is>
          <t>https://powo.science.kew.org/taxon/urn%3Alsid%3Aipni.org%3Anames%3A84083-1</t>
        </is>
      </c>
    </row>
    <row r="16" ht="26.25" customHeight="1">
      <c r="A16" s="4" t="inlineStr"/>
      <c r="B16" s="4" t="inlineStr">
        <is>
          <t>Aglaonema nicobaricum</t>
        </is>
      </c>
      <c r="C16" s="4" t="inlineStr">
        <is>
          <t>Aglaonema simplex f. nicobaricum (Hook.f.) Jervis</t>
        </is>
      </c>
      <c r="D16" s="4" t="inlineStr"/>
      <c r="E16" s="4" t="inlineStr"/>
      <c r="F16" s="4" t="inlineStr"/>
      <c r="G16" s="4" t="inlineStr">
        <is>
          <t>Nicobar Is.</t>
        </is>
      </c>
      <c r="H16" s="4" t="inlineStr"/>
      <c r="I16" s="4">
        <f>left(RIGHT(J16,5),4)</f>
        <v/>
      </c>
      <c r="J16" s="4" t="inlineStr">
        <is>
          <t>Fl. Brit. India 6: 530 (1893)</t>
        </is>
      </c>
      <c r="K16" s="4" t="inlineStr"/>
      <c r="L16" s="5" t="inlineStr"/>
      <c r="M16" s="5" t="inlineStr"/>
      <c r="N16" s="5" t="inlineStr"/>
      <c r="O16" s="5" t="inlineStr"/>
      <c r="P16" s="5" t="inlineStr"/>
      <c r="Q16" s="6" t="inlineStr"/>
      <c r="R16" s="5" t="inlineStr"/>
      <c r="S16" s="5" t="inlineStr"/>
      <c r="T16" s="5" t="inlineStr"/>
      <c r="U16" s="5" t="inlineStr"/>
      <c r="V16" s="7" t="inlineStr"/>
      <c r="W16" s="7" t="inlineStr"/>
      <c r="X16" s="7" t="inlineStr"/>
      <c r="Y16" s="5" t="inlineStr"/>
      <c r="Z16" s="7" t="inlineStr">
        <is>
          <t>https://powo.science.kew.org/taxon/urn%3Alsid%3Aipni.org%3Anames%3A84084-1</t>
        </is>
      </c>
    </row>
    <row r="17" ht="26.25" customHeight="1">
      <c r="A17" s="4" t="inlineStr"/>
      <c r="B17" s="4" t="inlineStr">
        <is>
          <t>Aglaonema nitidum</t>
        </is>
      </c>
      <c r="C17" s="4" t="inlineStr">
        <is>
          <t>Calla nitida Jack</t>
        </is>
      </c>
      <c r="D17" s="4" t="inlineStr">
        <is>
          <t>Aglaonema helferi Hook.f.; Aglaonema integrifolium (Link) Schott; Aglaonema nitidum f. cinereum Jervis; Aglaonema nitidum f. curtisii (N.E.Br.) Nicolson; Aglaonema nitidum var. helferi (Hook.f.) Nicolson; Aglaonema oblanceolatum Alderw.; Aglaonema oblanceolatum f. maximum Alderw.; Aglaonema oblongifolium Schott; Aglaonema oblongifolium var. curtisii N.E.Br.; Aglaonema princeps Kunth; Arum integrifolium Link</t>
        </is>
      </c>
      <c r="E17" s="4" t="inlineStr"/>
      <c r="F17" s="4" t="inlineStr"/>
      <c r="G17" s="4" t="inlineStr">
        <is>
          <t>S. Indo-China to W. Malesia</t>
        </is>
      </c>
      <c r="H17" s="4" t="inlineStr"/>
      <c r="I17" s="4">
        <f>left(RIGHT(J17,5),4)</f>
        <v/>
      </c>
      <c r="J17" s="4" t="inlineStr">
        <is>
          <t>Enum. Pl. 3: 56 (1841)</t>
        </is>
      </c>
      <c r="K17" s="4" t="inlineStr"/>
      <c r="L17" s="5" t="inlineStr"/>
      <c r="M17" s="5" t="inlineStr"/>
      <c r="N17" s="5" t="inlineStr"/>
      <c r="O17" s="5" t="inlineStr"/>
      <c r="P17" s="5" t="inlineStr"/>
      <c r="Q17" s="6" t="inlineStr"/>
      <c r="R17" s="5" t="inlineStr"/>
      <c r="S17" s="5" t="inlineStr"/>
      <c r="T17" s="5" t="inlineStr"/>
      <c r="U17" s="5" t="inlineStr"/>
      <c r="V17" s="7" t="inlineStr"/>
      <c r="W17" s="7" t="inlineStr"/>
      <c r="X17" s="7" t="inlineStr"/>
      <c r="Y17" s="5" t="inlineStr"/>
      <c r="Z17" s="7" t="inlineStr">
        <is>
          <t>https://powo.science.kew.org/taxon/urn%3Alsid%3Aipni.org%3Anames%3A84086-1</t>
        </is>
      </c>
    </row>
    <row r="18" ht="26.25" customHeight="1">
      <c r="A18" s="4" t="inlineStr"/>
      <c r="B18" s="4" t="inlineStr">
        <is>
          <t>Aglaonema ovatum</t>
        </is>
      </c>
      <c r="C18" s="4" t="inlineStr"/>
      <c r="D18" s="4" t="inlineStr">
        <is>
          <t>Aglaonema decurrens Buchet ex Gagnep.; Aglaonema ovatum f. maculatum Nicolson; Aglaonema ovatum var. maculatum Gagnep.</t>
        </is>
      </c>
      <c r="E18" s="4" t="inlineStr"/>
      <c r="F18" s="4" t="inlineStr"/>
      <c r="G18" s="4" t="inlineStr">
        <is>
          <t>Indo-China</t>
        </is>
      </c>
      <c r="H18" s="4" t="inlineStr"/>
      <c r="I18" s="4">
        <f>left(RIGHT(J18,5),4)</f>
        <v/>
      </c>
      <c r="J18" s="4" t="inlineStr">
        <is>
          <t>Bot. Jahrb. Syst. 25: 21 (1898)</t>
        </is>
      </c>
      <c r="K18" s="4" t="inlineStr"/>
      <c r="L18" s="5" t="inlineStr"/>
      <c r="M18" s="5" t="inlineStr"/>
      <c r="N18" s="5" t="inlineStr"/>
      <c r="O18" s="5" t="inlineStr"/>
      <c r="P18" s="5" t="inlineStr"/>
      <c r="Q18" s="6" t="inlineStr"/>
      <c r="R18" s="5" t="inlineStr"/>
      <c r="S18" s="5" t="inlineStr"/>
      <c r="T18" s="5" t="inlineStr"/>
      <c r="U18" s="5" t="inlineStr"/>
      <c r="V18" s="7" t="inlineStr"/>
      <c r="W18" s="7" t="inlineStr"/>
      <c r="X18" s="7" t="inlineStr"/>
      <c r="Y18" s="5" t="inlineStr"/>
      <c r="Z18" s="7" t="inlineStr">
        <is>
          <t>https://powo.science.kew.org/taxon/urn%3Alsid%3Aipni.org%3Anames%3A84091-1</t>
        </is>
      </c>
    </row>
    <row r="19" ht="26.25" customHeight="1">
      <c r="A19" s="4" t="inlineStr"/>
      <c r="B19" s="4" t="inlineStr">
        <is>
          <t>Aglaonema philippinense</t>
        </is>
      </c>
      <c r="C19" s="4" t="inlineStr"/>
      <c r="D19" s="4" t="inlineStr"/>
      <c r="E19" s="4" t="inlineStr"/>
      <c r="F19" s="4" t="inlineStr"/>
      <c r="G19" s="4" t="inlineStr">
        <is>
          <t>Philippines to Sulawesi</t>
        </is>
      </c>
      <c r="H19" s="4" t="inlineStr"/>
      <c r="I19" s="4">
        <f>left(RIGHT(J19,5),4)</f>
        <v/>
      </c>
      <c r="J19" s="4" t="inlineStr">
        <is>
          <t>Bot. Jahrb. Syst. 25: 21 (1898)</t>
        </is>
      </c>
      <c r="K19" s="4" t="inlineStr"/>
      <c r="L19" s="5" t="inlineStr"/>
      <c r="M19" s="5" t="inlineStr"/>
      <c r="N19" s="5" t="inlineStr"/>
      <c r="O19" s="5" t="inlineStr"/>
      <c r="P19" s="5" t="inlineStr"/>
      <c r="Q19" s="6" t="inlineStr"/>
      <c r="R19" s="5" t="inlineStr"/>
      <c r="S19" s="5" t="inlineStr"/>
      <c r="T19" s="5" t="inlineStr"/>
      <c r="U19" s="5" t="inlineStr"/>
      <c r="V19" s="7" t="inlineStr"/>
      <c r="W19" s="7" t="inlineStr"/>
      <c r="X19" s="7" t="inlineStr"/>
      <c r="Y19" s="5" t="inlineStr"/>
      <c r="Z19" s="7" t="inlineStr">
        <is>
          <t>https://powo.science.kew.org/taxon/urn%3Alsid%3Aipni.org%3Anames%3A84093-1</t>
        </is>
      </c>
    </row>
    <row r="20" ht="26.25" customHeight="1">
      <c r="A20" s="4" t="inlineStr"/>
      <c r="B20" s="4" t="inlineStr">
        <is>
          <t>Aglaonema pictum</t>
        </is>
      </c>
      <c r="C20" s="4" t="inlineStr">
        <is>
          <t>Calla picta Roxb.</t>
        </is>
      </c>
      <c r="D20" s="4" t="inlineStr">
        <is>
          <t>Aglaonema gracile Schott; Aglaonema pictum f. concolor Jervis; Aglaonema pictum var. tricolor N.E.Br. ex Engl.; Aglaonema versicolor Mast.</t>
        </is>
      </c>
      <c r="E20" s="4" t="inlineStr"/>
      <c r="F20" s="4" t="inlineStr"/>
      <c r="G20" s="4" t="inlineStr">
        <is>
          <t>Sumatera (incl. Nias)</t>
        </is>
      </c>
      <c r="H20" s="4" t="inlineStr"/>
      <c r="I20" s="4">
        <f>left(RIGHT(J20,5),4)</f>
        <v/>
      </c>
      <c r="J20" s="4" t="inlineStr">
        <is>
          <t>Enum. Pl. 3: 55 (1841)</t>
        </is>
      </c>
      <c r="K20" s="4" t="inlineStr"/>
      <c r="L20" s="5" t="inlineStr"/>
      <c r="M20" s="5" t="inlineStr"/>
      <c r="N20" s="5" t="inlineStr"/>
      <c r="O20" s="5" t="inlineStr"/>
      <c r="P20" s="5" t="inlineStr"/>
      <c r="Q20" s="6" t="inlineStr"/>
      <c r="R20" s="5" t="inlineStr"/>
      <c r="S20" s="5" t="inlineStr"/>
      <c r="T20" s="5" t="inlineStr"/>
      <c r="U20" s="5" t="inlineStr"/>
      <c r="V20" s="7" t="inlineStr"/>
      <c r="W20" s="7" t="inlineStr"/>
      <c r="X20" s="7" t="inlineStr"/>
      <c r="Y20" s="5" t="inlineStr"/>
      <c r="Z20" s="7" t="inlineStr">
        <is>
          <t>https://powo.science.kew.org/taxon/urn%3Alsid%3Aipni.org%3Anames%3A84094-1</t>
        </is>
      </c>
    </row>
    <row r="21" ht="26.25" customHeight="1">
      <c r="A21" s="4" t="inlineStr"/>
      <c r="B21" s="4" t="inlineStr">
        <is>
          <t>Aglaonema pumilum</t>
        </is>
      </c>
      <c r="C21" s="4" t="inlineStr"/>
      <c r="D21" s="4" t="inlineStr">
        <is>
          <t>Aglaonema marmoratum Engl.; Aglaonema pumilum f. marmoratum (Engl.) Jervis</t>
        </is>
      </c>
      <c r="E21" s="4" t="inlineStr"/>
      <c r="F21" s="4" t="inlineStr"/>
      <c r="G21" s="4" t="inlineStr">
        <is>
          <t>S. Myanmar to S. Thailand</t>
        </is>
      </c>
      <c r="H21" s="4" t="inlineStr"/>
      <c r="I21" s="4">
        <f>left(RIGHT(J21,5),4)</f>
        <v/>
      </c>
      <c r="J21" s="4" t="inlineStr">
        <is>
          <t>Fl. Brit. India 6: 530 (1893)</t>
        </is>
      </c>
      <c r="K21" s="4" t="inlineStr"/>
      <c r="L21" s="5" t="inlineStr"/>
      <c r="M21" s="5" t="inlineStr"/>
      <c r="N21" s="5" t="inlineStr"/>
      <c r="O21" s="5" t="inlineStr"/>
      <c r="P21" s="5" t="inlineStr"/>
      <c r="Q21" s="6" t="inlineStr"/>
      <c r="R21" s="5" t="inlineStr"/>
      <c r="S21" s="5" t="inlineStr"/>
      <c r="T21" s="5" t="inlineStr"/>
      <c r="U21" s="5" t="inlineStr"/>
      <c r="V21" s="7" t="inlineStr"/>
      <c r="W21" s="7" t="inlineStr"/>
      <c r="X21" s="7" t="inlineStr"/>
      <c r="Y21" s="5" t="inlineStr"/>
      <c r="Z21" s="7" t="inlineStr">
        <is>
          <t>https://powo.science.kew.org/taxon/urn%3Alsid%3Aipni.org%3Anames%3A84098-1</t>
        </is>
      </c>
    </row>
    <row r="22" ht="26.25" customHeight="1">
      <c r="A22" s="4" t="inlineStr"/>
      <c r="B22" s="4" t="inlineStr">
        <is>
          <t>Aglaonema robeleynii</t>
        </is>
      </c>
      <c r="C22" s="4" t="inlineStr">
        <is>
          <t>Schismatoglottis robeleynii Van Geert</t>
        </is>
      </c>
      <c r="D22" s="4" t="inlineStr">
        <is>
          <t>Aglaonema crispum (Pitcher &amp; Manda) Nicolson; Aglaonema crispum f. bicolensis Jervis; Aglaonema crispum f. pallidum Jervis; Schismatoglottis crispa Pitcher &amp; Manda; Schismatoglottis roebelenii Pitcher &amp; Manda</t>
        </is>
      </c>
      <c r="E22" s="4" t="inlineStr"/>
      <c r="F22" s="4" t="inlineStr"/>
      <c r="G22" s="4" t="inlineStr">
        <is>
          <t>Philippines (Luzon: Mt. Bulusan)</t>
        </is>
      </c>
      <c r="H22" s="4" t="inlineStr"/>
      <c r="I22" s="4">
        <f>left(RIGHT(J22,5),4)</f>
        <v/>
      </c>
      <c r="J22" s="4" t="inlineStr">
        <is>
          <t>Nursery Cat. (United States Nurseries) 1894: 31 (1894)</t>
        </is>
      </c>
      <c r="K22" s="4" t="inlineStr"/>
      <c r="L22" s="5" t="inlineStr"/>
      <c r="M22" s="5" t="inlineStr"/>
      <c r="N22" s="5" t="inlineStr"/>
      <c r="O22" s="5" t="inlineStr"/>
      <c r="P22" s="5" t="inlineStr"/>
      <c r="Q22" s="6" t="inlineStr"/>
      <c r="R22" s="5" t="inlineStr"/>
      <c r="S22" s="5" t="inlineStr"/>
      <c r="T22" s="5" t="inlineStr"/>
      <c r="U22" s="5" t="inlineStr"/>
      <c r="V22" s="7" t="inlineStr"/>
      <c r="W22" s="7" t="inlineStr"/>
      <c r="X22" s="7" t="inlineStr"/>
      <c r="Y22" s="5" t="inlineStr"/>
      <c r="Z22" s="7" t="inlineStr">
        <is>
          <t>https://powo.science.kew.org/taxon/urn%3Alsid%3Aipni.org%3Anames%3A77177136-1</t>
        </is>
      </c>
    </row>
    <row r="23" ht="26.25" customHeight="1">
      <c r="A23" s="4" t="inlineStr"/>
      <c r="B23" s="4" t="inlineStr">
        <is>
          <t>Aglaonema rotundum</t>
        </is>
      </c>
      <c r="C23" s="4" t="inlineStr"/>
      <c r="D23" s="4" t="inlineStr"/>
      <c r="E23" s="4" t="inlineStr"/>
      <c r="F23" s="4" t="inlineStr"/>
      <c r="G23" s="4" t="inlineStr">
        <is>
          <t>Sumatera (Medan)</t>
        </is>
      </c>
      <c r="H23" s="4" t="inlineStr"/>
      <c r="I23" s="4">
        <f>left(RIGHT(J23,5),4)</f>
        <v/>
      </c>
      <c r="J23" s="4" t="inlineStr">
        <is>
          <t>Gard. Chron., ser. 3, 14: 86 (1893)</t>
        </is>
      </c>
      <c r="K23" s="4" t="inlineStr"/>
      <c r="L23" s="5" t="inlineStr"/>
      <c r="M23" s="5" t="inlineStr"/>
      <c r="N23" s="5" t="inlineStr"/>
      <c r="O23" s="5" t="inlineStr"/>
      <c r="P23" s="5" t="inlineStr"/>
      <c r="Q23" s="6" t="inlineStr"/>
      <c r="R23" s="5" t="inlineStr"/>
      <c r="S23" s="5" t="inlineStr"/>
      <c r="T23" s="5" t="inlineStr"/>
      <c r="U23" s="5" t="inlineStr"/>
      <c r="V23" s="7" t="inlineStr"/>
      <c r="W23" s="7" t="inlineStr"/>
      <c r="X23" s="7" t="inlineStr"/>
      <c r="Y23" s="5" t="inlineStr"/>
      <c r="Z23" s="7" t="inlineStr">
        <is>
          <t>https://powo.science.kew.org/taxon/urn%3Alsid%3Aipni.org%3Anames%3A84103-1</t>
        </is>
      </c>
    </row>
    <row r="24" ht="26.25" customHeight="1">
      <c r="A24" s="4" t="inlineStr"/>
      <c r="B24" s="4" t="inlineStr">
        <is>
          <t>Aglaonema simplex</t>
        </is>
      </c>
      <c r="C24" s="4" t="inlineStr">
        <is>
          <t>Aglaonema simplex f. typicum Alderw.</t>
        </is>
      </c>
      <c r="D24" s="4" t="inlineStr">
        <is>
          <t>Aglaonema alpinum Elmer; Aglaonema angustifolium N.E.Br.; Aglaonema angustifolium var. undulatum Ridl.; Aglaonema borneense Engl.; Aglaonema brevivaginatum Alderw.; Aglaonema elongatum Alderw.; Aglaonema emarginatum Alderw.; Aglaonema fallax Schott ex Engl.; Aglaonema grande Alderw.; Aglaonema latius Alderw.; Aglaonema longicuspidatum Schott; Aglaonema malaccense Schott; Aglaonema nicobaricum var. luteum Sasikala; Aglaonema nieuwenhuisii Engl. ex Alderw.; Aglaonema pierreanum Engl.; Aglaonema propinquum Schott; Aglaonema schottianum Miq.; Aglaonema schottianum f. angustifolium (N.E.Br.) Engl.; Aglaonema schottianum var. brownii Engl.; Aglaonema schottianum var. genuinum Engl.; Aglaonema schottianum var. malaccense (Schott) Engl.; Aglaonema schottianum var. winkleri Engl.; Aglaonema siamense Engl.; Aglaonema simplex f. angustifolium (N.E.Br.) Jervis; Aglaonema simplex f. inaequale Alderw.; Aglaonema simplex f. nieuwenhuisii (Engl. ex Alderw.) Jervis; Aglaonema simplex var. macrophyllum Engl.; Aglaonema subarborescens Alderw.; Aglaonema subfalcatum Engl.; Aglaonema tenuipes Engl.; Caladium princeps Kunth; Caladium simplex Blume; Scindapsus tonkinensis K.Krause</t>
        </is>
      </c>
      <c r="E24" s="4" t="inlineStr"/>
      <c r="F24" s="4" t="inlineStr"/>
      <c r="G24" s="4" t="inlineStr">
        <is>
          <t>Bangladesh to China (SW. Yunnan) and Malesia</t>
        </is>
      </c>
      <c r="H24" s="4" t="inlineStr"/>
      <c r="I24" s="4">
        <f>left(RIGHT(J24,5),4)</f>
        <v/>
      </c>
      <c r="J24" s="4" t="inlineStr">
        <is>
          <t>Rumphia 1: 152 (1837)</t>
        </is>
      </c>
      <c r="K24" s="4" t="inlineStr"/>
      <c r="L24" s="5" t="inlineStr"/>
      <c r="M24" s="5" t="inlineStr"/>
      <c r="N24" s="5" t="inlineStr"/>
      <c r="O24" s="5" t="inlineStr"/>
      <c r="P24" s="5" t="inlineStr"/>
      <c r="Q24" s="6" t="inlineStr"/>
      <c r="R24" s="5" t="inlineStr"/>
      <c r="S24" s="5" t="inlineStr"/>
      <c r="T24" s="5" t="inlineStr"/>
      <c r="U24" s="5" t="inlineStr"/>
      <c r="V24" s="7" t="inlineStr"/>
      <c r="W24" s="7" t="inlineStr"/>
      <c r="X24" s="7" t="inlineStr"/>
      <c r="Y24" s="5" t="inlineStr"/>
      <c r="Z24" s="7" t="inlineStr">
        <is>
          <t>https://powo.science.kew.org/taxon/urn%3Alsid%3Aipni.org%3Anames%3A84107-1</t>
        </is>
      </c>
    </row>
    <row r="25" ht="26.25" customHeight="1">
      <c r="A25" s="4" t="inlineStr"/>
      <c r="B25" s="4" t="inlineStr">
        <is>
          <t>Aglaonema tassae</t>
        </is>
      </c>
      <c r="C25" s="4" t="inlineStr"/>
      <c r="D25" s="4" t="inlineStr"/>
      <c r="E25" s="4" t="inlineStr"/>
      <c r="F25" s="4" t="inlineStr"/>
      <c r="G25" s="4" t="inlineStr">
        <is>
          <t>Arunachal Pradesh</t>
        </is>
      </c>
      <c r="H25" s="4" t="inlineStr"/>
      <c r="I25" s="4">
        <f>left(RIGHT(J25,5),4)</f>
        <v/>
      </c>
      <c r="J25" s="4" t="inlineStr">
        <is>
          <t>Pleione 12: 310 (2018)</t>
        </is>
      </c>
      <c r="K25" s="4" t="inlineStr"/>
      <c r="L25" s="5" t="inlineStr"/>
      <c r="M25" s="5" t="inlineStr"/>
      <c r="N25" s="5" t="inlineStr"/>
      <c r="O25" s="5" t="inlineStr"/>
      <c r="P25" s="5" t="inlineStr"/>
      <c r="Q25" s="6" t="inlineStr"/>
      <c r="R25" s="5" t="inlineStr"/>
      <c r="S25" s="5" t="inlineStr"/>
      <c r="T25" s="5" t="inlineStr"/>
      <c r="U25" s="5" t="inlineStr"/>
      <c r="V25" s="7" t="inlineStr"/>
      <c r="W25" s="7" t="inlineStr"/>
      <c r="X25" s="7" t="inlineStr"/>
      <c r="Y25" s="5" t="inlineStr"/>
      <c r="Z25" s="7" t="inlineStr">
        <is>
          <t>https://powo.science.kew.org/taxon/urn%3Alsid%3Aipni.org%3Anames%3A77220097-1</t>
        </is>
      </c>
    </row>
    <row r="26" ht="26.25" customHeight="1">
      <c r="A26" s="4" t="inlineStr"/>
      <c r="B26" s="4" t="inlineStr">
        <is>
          <t>Aglaonema tricolor</t>
        </is>
      </c>
      <c r="C26" s="4" t="inlineStr"/>
      <c r="D26" s="4" t="inlineStr"/>
      <c r="E26" s="4" t="inlineStr"/>
      <c r="F26" s="4" t="inlineStr"/>
      <c r="G26" s="4" t="inlineStr">
        <is>
          <t>Philippines</t>
        </is>
      </c>
      <c r="H26" s="4" t="inlineStr"/>
      <c r="I26" s="4">
        <f>left(RIGHT(J26,5),4)</f>
        <v/>
      </c>
      <c r="J26" s="4" t="inlineStr">
        <is>
          <t>Aglaonema Grower's Notebook: 38 (1980)</t>
        </is>
      </c>
      <c r="K26" s="4" t="inlineStr"/>
      <c r="L26" s="5" t="inlineStr"/>
      <c r="M26" s="5" t="inlineStr"/>
      <c r="N26" s="5" t="inlineStr"/>
      <c r="O26" s="5" t="inlineStr"/>
      <c r="P26" s="5" t="inlineStr"/>
      <c r="Q26" s="6" t="inlineStr"/>
      <c r="R26" s="5" t="inlineStr"/>
      <c r="S26" s="5" t="inlineStr"/>
      <c r="T26" s="5" t="inlineStr"/>
      <c r="U26" s="5" t="inlineStr"/>
      <c r="V26" s="7" t="inlineStr"/>
      <c r="W26" s="7" t="inlineStr"/>
      <c r="X26" s="7" t="inlineStr"/>
      <c r="Y26" s="5" t="inlineStr"/>
      <c r="Z26" s="7" t="inlineStr">
        <is>
          <t>https://powo.science.kew.org/taxon/urn%3Alsid%3Aipni.org%3Anames%3A896331-1</t>
        </is>
      </c>
    </row>
    <row r="27" ht="26.25" customHeight="1">
      <c r="A27" s="4" t="inlineStr"/>
      <c r="B27" s="4" t="inlineStr">
        <is>
          <t>Aglaonema vittatum</t>
        </is>
      </c>
      <c r="C27" s="4" t="inlineStr"/>
      <c r="D27" s="4" t="inlineStr">
        <is>
          <t>Aglaonema vittatum f. concolor Jervis</t>
        </is>
      </c>
      <c r="E27" s="4" t="inlineStr"/>
      <c r="F27" s="4" t="inlineStr"/>
      <c r="G27" s="4" t="inlineStr">
        <is>
          <t>E. Sumatera (incl. Lingga Is.)</t>
        </is>
      </c>
      <c r="H27" s="4" t="inlineStr"/>
      <c r="I27" s="4">
        <f>left(RIGHT(J27,5),4)</f>
        <v/>
      </c>
      <c r="J27" s="4" t="inlineStr">
        <is>
          <t>Pflanzenr., IV, 23Dc: 33 (1915)</t>
        </is>
      </c>
      <c r="K27" s="4" t="inlineStr"/>
      <c r="L27" s="5" t="inlineStr"/>
      <c r="M27" s="5" t="inlineStr"/>
      <c r="N27" s="5" t="inlineStr"/>
      <c r="O27" s="5" t="inlineStr"/>
      <c r="P27" s="5" t="inlineStr"/>
      <c r="Q27" s="6" t="inlineStr"/>
      <c r="R27" s="5" t="inlineStr"/>
      <c r="S27" s="5" t="inlineStr"/>
      <c r="T27" s="5" t="inlineStr"/>
      <c r="U27" s="5" t="inlineStr"/>
      <c r="V27" s="7" t="inlineStr"/>
      <c r="W27" s="7" t="inlineStr"/>
      <c r="X27" s="7" t="inlineStr"/>
      <c r="Y27" s="5" t="inlineStr"/>
      <c r="Z27" s="7" t="inlineStr">
        <is>
          <t>https://powo.science.kew.org/taxon/urn%3Alsid%3Aipni.org%3Anames%3A84115-1</t>
        </is>
      </c>
    </row>
  </sheetData>
  <autoFilter ref="A1:AV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30.1" customWidth="1" min="1" max="1"/>
    <col width="16.6" customWidth="1" min="2" max="2"/>
    <col width="48.8" customWidth="1" min="3" max="3"/>
    <col width="72.8" customWidth="1" min="4" max="4"/>
    <col width="12.4" customWidth="1" min="5" max="5"/>
    <col width="18" customWidth="1" min="6" max="6"/>
    <col width="8.4" customWidth="1" min="7" max="7"/>
    <col width="22.9" customWidth="1" min="10" max="10"/>
  </cols>
  <sheetData>
    <row r="1">
      <c r="A1" t="inlineStr">
        <is>
          <t>CULTIVAR NAME</t>
        </is>
      </c>
      <c r="B1" t="inlineStr">
        <is>
          <t>CULTIVAR SPECIES</t>
        </is>
      </c>
      <c r="C1" t="inlineStr">
        <is>
          <t>ORIGIN</t>
        </is>
      </c>
      <c r="D1" t="inlineStr">
        <is>
          <t>ADDITIONAL CREDITS</t>
        </is>
      </c>
      <c r="E1" t="inlineStr">
        <is>
          <t>DESCRIPTION</t>
        </is>
      </c>
      <c r="F1" t="inlineStr">
        <is>
          <t>VARIEGATED FORMS</t>
        </is>
      </c>
      <c r="G1" t="inlineStr">
        <is>
          <t>HYBRIDS</t>
        </is>
      </c>
      <c r="H1" t="inlineStr">
        <is>
          <t>NOTES</t>
        </is>
      </c>
      <c r="I1" t="inlineStr">
        <is>
          <t>STORY</t>
        </is>
      </c>
      <c r="J1" t="inlineStr">
        <is>
          <t>ADDITIONAL REFERENCES</t>
        </is>
      </c>
      <c r="K1" t="inlineStr">
        <is>
          <t>SLUG</t>
        </is>
      </c>
      <c r="L1" t="inlineStr">
        <is>
          <t>IAS STATUS</t>
        </is>
      </c>
      <c r="M1" t="inlineStr">
        <is>
          <t>IAS PUBLISH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37.8" customWidth="1" min="2" max="2"/>
    <col width="45.4" customWidth="1" min="3" max="3"/>
    <col width="21.5" customWidth="1" min="5" max="5"/>
    <col width="14.2" customWidth="1" min="6" max="6"/>
    <col width="36.4" customWidth="1" min="8" max="8"/>
    <col width="27.6" customWidth="1" min="9" max="9"/>
  </cols>
  <sheetData>
    <row r="1">
      <c r="A1" s="8" t="inlineStr">
        <is>
          <t>AP</t>
        </is>
      </c>
      <c r="B1" s="8" t="inlineStr">
        <is>
          <t>HYBRID NAME</t>
        </is>
      </c>
      <c r="C1" s="8" t="inlineStr">
        <is>
          <t>SYNONYM</t>
        </is>
      </c>
      <c r="D1" s="8" t="inlineStr">
        <is>
          <t>PARENTAGE</t>
        </is>
      </c>
      <c r="E1" s="8" t="inlineStr">
        <is>
          <t>OVULE</t>
        </is>
      </c>
      <c r="F1" s="8" t="inlineStr">
        <is>
          <t>POLLEN</t>
        </is>
      </c>
      <c r="G1" s="8" t="inlineStr">
        <is>
          <t>HYBRIDIZER</t>
        </is>
      </c>
      <c r="H1" s="8" t="inlineStr">
        <is>
          <t>LINK</t>
        </is>
      </c>
      <c r="I1" s="9" t="inlineStr">
        <is>
          <t>ADDITIONAL CREDITS</t>
        </is>
      </c>
      <c r="J1" s="8" t="inlineStr">
        <is>
          <t>ORIGIN</t>
        </is>
      </c>
      <c r="K1" s="8" t="inlineStr">
        <is>
          <t>VARIEGATED FORMS</t>
        </is>
      </c>
      <c r="L1" s="8" t="inlineStr">
        <is>
          <t>DESCRIPTION</t>
        </is>
      </c>
      <c r="M1" s="8" t="inlineStr">
        <is>
          <t>HYBRIDS</t>
        </is>
      </c>
      <c r="N1" s="8" t="inlineStr">
        <is>
          <t>HYBRID DUPES</t>
        </is>
      </c>
      <c r="O1" s="8" t="inlineStr">
        <is>
          <t>NOMENCLATURE DEBATE</t>
        </is>
      </c>
      <c r="P1" s="8" t="inlineStr">
        <is>
          <t>NOTES</t>
        </is>
      </c>
      <c r="Q1" s="8" t="inlineStr">
        <is>
          <t>STORY</t>
        </is>
      </c>
      <c r="R1" s="8" t="inlineStr">
        <is>
          <t>ADDITIONAL REFERENCES</t>
        </is>
      </c>
      <c r="S1" s="8" t="inlineStr">
        <is>
          <t>SLUG</t>
        </is>
      </c>
      <c r="T1" s="9" t="inlineStr">
        <is>
          <t>CLASS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DATE</t>
        </is>
      </c>
      <c r="B1" t="inlineStr">
        <is>
          <t>NOTE</t>
        </is>
      </c>
      <c r="C1" t="inlineStr">
        <is>
          <t>AP</t>
        </is>
      </c>
      <c r="D1" t="inlineStr">
        <is>
          <t>SPECIES NAME</t>
        </is>
      </c>
      <c r="E1" t="inlineStr">
        <is>
          <t>HOMOTYPIC SYNONYMS</t>
        </is>
      </c>
      <c r="F1" t="inlineStr">
        <is>
          <t>HETEROTYPIC SYNONYMS</t>
        </is>
      </c>
      <c r="G1" t="inlineStr">
        <is>
          <t>ACCEPTED INFRASPECIFICS</t>
        </is>
      </c>
      <c r="H1" t="inlineStr">
        <is>
          <t>OTHER NAMES</t>
        </is>
      </c>
      <c r="I1" t="inlineStr">
        <is>
          <t>GEOGRAPHY</t>
        </is>
      </c>
      <c r="J1" t="inlineStr">
        <is>
          <t>DOUBTFULLY PRESENT</t>
        </is>
      </c>
      <c r="K1" t="inlineStr">
        <is>
          <t>YEAR DESCRIBED</t>
        </is>
      </c>
      <c r="L1" t="inlineStr">
        <is>
          <t>JOURNAL</t>
        </is>
      </c>
      <c r="M1" t="inlineStr">
        <is>
          <t>JOURNAL AVAILABLE</t>
        </is>
      </c>
      <c r="N1" t="inlineStr">
        <is>
          <t>PROTOLOGUE NAME &amp; URL</t>
        </is>
      </c>
      <c r="O1" t="inlineStr">
        <is>
          <t>PROTOLOGUE TEXT</t>
        </is>
      </c>
      <c r="P1" t="inlineStr">
        <is>
          <t>DESCRIPTION</t>
        </is>
      </c>
      <c r="Q1" t="inlineStr">
        <is>
          <t>INFLORESCENCE</t>
        </is>
      </c>
      <c r="R1" t="inlineStr">
        <is>
          <t>ADDITIONAL DISTRIBUTION</t>
        </is>
      </c>
      <c r="S1" t="inlineStr">
        <is>
          <t>INATURALIST</t>
        </is>
      </c>
      <c r="T1" t="inlineStr">
        <is>
          <t>ECOLOGY</t>
        </is>
      </c>
      <c r="U1" t="inlineStr">
        <is>
          <t>ETYMOLOGY</t>
        </is>
      </c>
      <c r="V1" t="inlineStr">
        <is>
          <t>ADDITIONAL CREDITS</t>
        </is>
      </c>
      <c r="W1" t="inlineStr">
        <is>
          <t>NOTES</t>
        </is>
      </c>
      <c r="X1" t="inlineStr">
        <is>
          <t>PROPAGATION</t>
        </is>
      </c>
      <c r="Y1" t="inlineStr">
        <is>
          <t>STORY</t>
        </is>
      </c>
      <c r="Z1" t="inlineStr">
        <is>
          <t>ADDITIONAL REFERENCES</t>
        </is>
      </c>
      <c r="AA1" t="inlineStr">
        <is>
          <t>HYBRIDS</t>
        </is>
      </c>
      <c r="AB1" t="inlineStr">
        <is>
          <t>KEW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2026-10-02T11:25:34Z</dcterms:created>
  <dcterms:modified xsi:type="dcterms:W3CDTF">2026-10-02T11:25:34Z</dcterms:modified>
</cp:coreProperties>
</file>